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<sst xmlns="http://schemas.openxmlformats.org/spreadsheetml/2006/main" count="1878" uniqueCount="788">
  <si>
    <t>EventID</t>
  </si>
  <si>
    <t>Topic</t>
  </si>
  <si>
    <t>EventName</t>
  </si>
  <si>
    <t>EventDescription</t>
  </si>
  <si>
    <t>Date</t>
  </si>
  <si>
    <t>Authors</t>
  </si>
  <si>
    <t>Registered</t>
  </si>
  <si>
    <t>Public Speaking</t>
  </si>
  <si>
    <t>Powerful Public Speaking</t>
  </si>
  <si>
    <t>Proven techniques for confident communication</t>
  </si>
  <si>
    <t>2025-01-06</t>
  </si>
  <si>
    <t>Anjuan Simmons</t>
  </si>
  <si>
    <t>Software Architecture</t>
  </si>
  <si>
    <t>System Design Interview Boot Camp</t>
  </si>
  <si>
    <t>Solve complex problems using a proven framework</t>
  </si>
  <si>
    <t>2025-01-07</t>
  </si>
  <si>
    <t>Rohit Bhardwaj</t>
  </si>
  <si>
    <t>Microservices</t>
  </si>
  <si>
    <t>Microservices Bootcamp</t>
  </si>
  <si>
    <t>From fundamentals to deployment</t>
  </si>
  <si>
    <t>Sam Newman</t>
  </si>
  <si>
    <t>Power BI</t>
  </si>
  <si>
    <t>Power BI Bootcamp</t>
  </si>
  <si>
    <t>Florencia Hourcouripé Nicolás Lagreste Zucchini</t>
  </si>
  <si>
    <t>Personal Productivity</t>
  </si>
  <si>
    <t>Using Generative AI to Boost Your Personal Productivity</t>
  </si>
  <si>
    <t>Get more done each day with the help of AI</t>
  </si>
  <si>
    <t>David Griffiths</t>
  </si>
  <si>
    <t>Ansible</t>
  </si>
  <si>
    <t>Ansible AI</t>
  </si>
  <si>
    <t>Implement Ansible DevOps with Lightspeed AI and Event-Driven Ansible</t>
  </si>
  <si>
    <t>Sander van Vugt</t>
  </si>
  <si>
    <t>Project Management</t>
  </si>
  <si>
    <t>Leveraging AI for Effective Project Management</t>
  </si>
  <si>
    <t>Expedite project management work using intelligent systems like ChatGPT 4o</t>
  </si>
  <si>
    <t>Vijay Kanabar</t>
  </si>
  <si>
    <t>C++</t>
  </si>
  <si>
    <t>C++ Essentials: STL Algorithms</t>
  </si>
  <si>
    <t>Reduce bugs and increase productivity and performance</t>
  </si>
  <si>
    <t>Klaus Iglberger</t>
  </si>
  <si>
    <t>Critical Thinking</t>
  </si>
  <si>
    <t>Build Your Critical Thinking Skills in 3 Weeks</t>
  </si>
  <si>
    <t>Improve your productivity and decision-making skills with empirically based methods</t>
  </si>
  <si>
    <t>Connie Missimer</t>
  </si>
  <si>
    <t>Python</t>
  </si>
  <si>
    <t>Hands-On Python Foundations in 3 Weeks</t>
  </si>
  <si>
    <t>Learn the Foundations of Python with Exercises, Homework, and Quizzes</t>
  </si>
  <si>
    <t>Arianne Dee</t>
  </si>
  <si>
    <t>90 Minutes to Better Decision Making</t>
  </si>
  <si>
    <t>How to use evidence to make transparent and accountable workplace decisions</t>
  </si>
  <si>
    <t>Dr Zina O’Leary</t>
  </si>
  <si>
    <t>Algorithms</t>
  </si>
  <si>
    <t>AI and ML Algorithms for Non-mathematicians and Data Science Beginners</t>
  </si>
  <si>
    <t>Demystify AI and LLMs like ChatGPT</t>
  </si>
  <si>
    <t>Rob Barton Jerome Henry</t>
  </si>
  <si>
    <t>Internet Protocols</t>
  </si>
  <si>
    <t>TLS Handshake Deep Dive – TLS v1.3</t>
  </si>
  <si>
    <t>Understand the important changes, what didn't change, why, and take a deep dive into the TLS 1.3 handshake</t>
  </si>
  <si>
    <t>2025-01-08</t>
  </si>
  <si>
    <t>Ed Harmoush</t>
  </si>
  <si>
    <t>AWS Certified DevOps Engineer</t>
  </si>
  <si>
    <t>Hands-on AWS in 3 Weeks</t>
  </si>
  <si>
    <t>Design, Deploy and Manage Infrastructure in AWS</t>
  </si>
  <si>
    <t>Chad Smith</t>
  </si>
  <si>
    <t>Cloud Computing</t>
  </si>
  <si>
    <t>Google Cloud: Associate Cloud Engineer Bootcamp</t>
  </si>
  <si>
    <t>Hands-on practice to help you get a solid foundation for the Associate Cloud Engineer certification</t>
  </si>
  <si>
    <t xml:space="preserve">Janani Ravi </t>
  </si>
  <si>
    <t>Prompt Engineering</t>
  </si>
  <si>
    <t>Prompting Bootcamp</t>
  </si>
  <si>
    <t>Crafting Content with Generative AI</t>
  </si>
  <si>
    <t>Sarah Tamsin Mike Taylor</t>
  </si>
  <si>
    <t>Robotics</t>
  </si>
  <si>
    <t>Cursor for Software Engineers</t>
  </si>
  <si>
    <t>How to boost your productivity with generative AI</t>
  </si>
  <si>
    <t>Sergio Pereira</t>
  </si>
  <si>
    <t>Python Full Throttle with Paul Deitel: A One-Day, Fast-Paced, Code-Intensive Python Presentation</t>
  </si>
  <si>
    <t>Paul J. Deitel</t>
  </si>
  <si>
    <t>Linux</t>
  </si>
  <si>
    <t>Linux Fundamentals Bootcamp</t>
  </si>
  <si>
    <t>The intensive hands-on training you need to quickly get up and running with Linux</t>
  </si>
  <si>
    <t>GPT</t>
  </si>
  <si>
    <t>Building Text-Based Applications with the ChatGPT API and LangChain</t>
  </si>
  <si>
    <t>How to build with large language models</t>
  </si>
  <si>
    <t>Lucas Soares</t>
  </si>
  <si>
    <t>Data Analysis with Python</t>
  </si>
  <si>
    <t>Empowering data-driven insights and proactive decision-making</t>
  </si>
  <si>
    <t>Chester Ismay</t>
  </si>
  <si>
    <t>Large Language Models and ChatGPT in 3 Weeks</t>
  </si>
  <si>
    <t>Leverage NLP, GPT-4, ChatGPT, and LLMs to Unlock Business Value and Create Viable Prototypes</t>
  </si>
  <si>
    <t>Sinan Ozdemir</t>
  </si>
  <si>
    <t>Generative AI Artificial Intelligence (AI)</t>
  </si>
  <si>
    <t>Generative AI for Finance in 60 Minutes</t>
  </si>
  <si>
    <t>Understand the capabilities and use cases of AI tools</t>
  </si>
  <si>
    <t>Rajendra Shroff</t>
  </si>
  <si>
    <t>Domain-Driven Design</t>
  </si>
  <si>
    <t>Domain-Driven Design: First Steps</t>
  </si>
  <si>
    <t>Building Software that solves the hard problems.</t>
  </si>
  <si>
    <t>2025-01-09</t>
  </si>
  <si>
    <t>Andrew Harmel-Law</t>
  </si>
  <si>
    <t>Kubernetes</t>
  </si>
  <si>
    <t>GitOps for Kubernetes</t>
  </si>
  <si>
    <t>Streamline your work deploying Kubernetes manifests with GitOps</t>
  </si>
  <si>
    <t>Michael Levan</t>
  </si>
  <si>
    <t>Git</t>
  </si>
  <si>
    <t>Use Git Like A Pro</t>
  </si>
  <si>
    <t>Level up your software development workflow with Git and GitHub</t>
  </si>
  <si>
    <t>Aashima Ahuja</t>
  </si>
  <si>
    <t>Generative AI Scrum</t>
  </si>
  <si>
    <t>Generative AI for Scrum Teams</t>
  </si>
  <si>
    <t>Integrating AI into your Agile workflow</t>
  </si>
  <si>
    <t>Rich Theil</t>
  </si>
  <si>
    <t>Presentation Skills</t>
  </si>
  <si>
    <t>How to give great presentations</t>
  </si>
  <si>
    <t>Eight simple ways to wow your audience</t>
  </si>
  <si>
    <t>Curtis Newbold</t>
  </si>
  <si>
    <t>TypeScript</t>
  </si>
  <si>
    <t>TypeScript Fundamentals</t>
  </si>
  <si>
    <t>Build and maintain large web applications</t>
  </si>
  <si>
    <t>Brice Wilson</t>
  </si>
  <si>
    <t>Design Patterns</t>
  </si>
  <si>
    <t>Design Patterns Boot Camp</t>
  </si>
  <si>
    <t>Improve your object-oriented designs, making them more flexible, maintainable, and resilient</t>
  </si>
  <si>
    <t>Eric T. Freeman Elisabeth Robson</t>
  </si>
  <si>
    <t>Team Management</t>
  </si>
  <si>
    <t>Mastering Effective Stakeholder Engagement</t>
  </si>
  <si>
    <t>Proven strategies to create thriving stakeholder relationships and productivity</t>
  </si>
  <si>
    <t>David B. Newman Lisa Hammer</t>
  </si>
  <si>
    <t>TCP/IP</t>
  </si>
  <si>
    <t>TCP/IP Fundamentals</t>
  </si>
  <si>
    <t>Learn about the protocols of the Internet!</t>
  </si>
  <si>
    <t>Michael J. Shannon</t>
  </si>
  <si>
    <t>GitHub</t>
  </si>
  <si>
    <t>GitHub Fundamentals Bootcamp</t>
  </si>
  <si>
    <t>Learn the complete GitHub from coding to Copilot</t>
  </si>
  <si>
    <t>Brent Laster</t>
  </si>
  <si>
    <t>Reinforcement Learning</t>
  </si>
  <si>
    <t>Build Your Own AI Lab</t>
  </si>
  <si>
    <t>A hands-on guide to home and cloud-based AI labs and infrastructure</t>
  </si>
  <si>
    <t>2025-01-10</t>
  </si>
  <si>
    <t>Omar Santos</t>
  </si>
  <si>
    <t>Rust</t>
  </si>
  <si>
    <t>Rust in 4 Hours</t>
  </si>
  <si>
    <t>Learn to create, build and run Rust applications</t>
  </si>
  <si>
    <t>Andy Olsen</t>
  </si>
  <si>
    <t>Getting Started with Kubernetes</t>
  </si>
  <si>
    <t>Five hours to deploying your first application</t>
  </si>
  <si>
    <t>Sean P. Kane</t>
  </si>
  <si>
    <t>Splunk</t>
  </si>
  <si>
    <t>Beginning Splunk</t>
  </si>
  <si>
    <t>Effectively search, analyze and create knowledge objects in Splunk</t>
  </si>
  <si>
    <t>Karun Subramanian</t>
  </si>
  <si>
    <t>Communicating Software Architecture</t>
  </si>
  <si>
    <t>Using technical diagrams to take your project from presentation to production</t>
  </si>
  <si>
    <t>Jacqui Read</t>
  </si>
  <si>
    <t>JIRA</t>
  </si>
  <si>
    <t>Advanced Jira for Agile Projects</t>
  </si>
  <si>
    <t>Automation, Techniques, and Tools</t>
  </si>
  <si>
    <t>Jim Weaver</t>
  </si>
  <si>
    <t>Spring</t>
  </si>
  <si>
    <t>Spring AI</t>
  </si>
  <si>
    <t>Combining the OpenAI API with Java and the Spring Framework</t>
  </si>
  <si>
    <t>2025-01-13</t>
  </si>
  <si>
    <t>Ken Kousen</t>
  </si>
  <si>
    <t>Writing Effective Prompts for ChatGPT</t>
  </si>
  <si>
    <t>Crafting engaging and productive ChatGPT prompts</t>
  </si>
  <si>
    <t>Sarah Tamsin</t>
  </si>
  <si>
    <t>Software architecture by example</t>
  </si>
  <si>
    <t>Learn how to apply the fundamentals through real-world examples</t>
  </si>
  <si>
    <t>Neal Ford Mark Richards</t>
  </si>
  <si>
    <t>Building Agents with OpenAI’s GPT Assistants API</t>
  </si>
  <si>
    <t>Develop custom AI assistants using GPT technology for real-world applications</t>
  </si>
  <si>
    <t>Red Hat Certified System Administrator (RHCSA)</t>
  </si>
  <si>
    <t>Red Hat Certified System Administrator (RHCSA) RHEL 9 Crash Course</t>
  </si>
  <si>
    <t>Labs, demos, and real-world homework to prepare you for the RHCSA exam</t>
  </si>
  <si>
    <t>HashiCorp Terraform Associate</t>
  </si>
  <si>
    <t>Hashicorp Certified: Terraform Associate Certification Crash Course</t>
  </si>
  <si>
    <t>In-depth and hands-on practice for acing the exam</t>
  </si>
  <si>
    <t>Benjamin Muschko</t>
  </si>
  <si>
    <t>Clean Code</t>
  </si>
  <si>
    <t>Robert C. Martin</t>
  </si>
  <si>
    <t>Co-Programming in Python with GenAI</t>
  </si>
  <si>
    <t>Becoming a better Python coder with ChatGPT and ClaudeAI</t>
  </si>
  <si>
    <t>Reuven M. Lerner</t>
  </si>
  <si>
    <t>Certified Ethical Hacker (CEH)</t>
  </si>
  <si>
    <t>Certified Ethical Hacker (CEH) Bootcamp</t>
  </si>
  <si>
    <t>Hacking your way through the CEH v12 exam</t>
  </si>
  <si>
    <t>Dean Bushmiller</t>
  </si>
  <si>
    <t>Agile Story Mapping</t>
  </si>
  <si>
    <t>Story Mapping for Agile Release Planning</t>
  </si>
  <si>
    <t>Maximize product value through incremental delivery</t>
  </si>
  <si>
    <t>Howard Podeswa</t>
  </si>
  <si>
    <t>Docker</t>
  </si>
  <si>
    <t>Hands-on Practical Docker</t>
  </si>
  <si>
    <t>Learn best practices for building maintainable Dockerfiles</t>
  </si>
  <si>
    <t>Raju Gandhi</t>
  </si>
  <si>
    <t>Go</t>
  </si>
  <si>
    <t>Introduction to the Go Programming Language</t>
  </si>
  <si>
    <t>Why Go is Great and How to Use it</t>
  </si>
  <si>
    <t>Jay McGavren</t>
  </si>
  <si>
    <t>GitHub Copilot</t>
  </si>
  <si>
    <t>Using GitHub Copilot Chat</t>
  </si>
  <si>
    <t>Pair programming with AI for easier software development</t>
  </si>
  <si>
    <t>Lukasz Dynowski</t>
  </si>
  <si>
    <t>Git Clinic</t>
  </si>
  <si>
    <t>Everything you wanted to know about Git but were afraid to ask</t>
  </si>
  <si>
    <t>Ian Miell</t>
  </si>
  <si>
    <t>Event-Driven Microservices</t>
  </si>
  <si>
    <t>Fundamentals of Event-Driven Microservices</t>
  </si>
  <si>
    <t>Building architecture to support your organization’s data</t>
  </si>
  <si>
    <t>2025-01-14</t>
  </si>
  <si>
    <t>Adam Bellemare</t>
  </si>
  <si>
    <t>Deep Learning</t>
  </si>
  <si>
    <t>Deep Learning for Beginners in 3 Weeks</t>
  </si>
  <si>
    <t>From basics to production with NumPy and TensorFlow</t>
  </si>
  <si>
    <t>Thomas Nield</t>
  </si>
  <si>
    <t>React</t>
  </si>
  <si>
    <t>Building Enterprise Apps with React</t>
  </si>
  <si>
    <t>Best Practices for Managing Complexity in React Applications</t>
  </si>
  <si>
    <t>ChatGPT to Improve Your Writing</t>
  </si>
  <si>
    <t>Tips and Tricks for Technical and Business Writers</t>
  </si>
  <si>
    <t>Chatbots</t>
  </si>
  <si>
    <t>Generative AI APIs</t>
  </si>
  <si>
    <t>Use the OpenAI, Gemini, Claude, and Llama APIs to Build GenAI-Enabled Applications</t>
  </si>
  <si>
    <t>Shaun Wassell</t>
  </si>
  <si>
    <t>Professional Communication</t>
  </si>
  <si>
    <t>6 Rules for Communicating with Management</t>
  </si>
  <si>
    <t>Strategies for getting heard and advancing your career</t>
  </si>
  <si>
    <t>Roy Weissman</t>
  </si>
  <si>
    <t>Product Design</t>
  </si>
  <si>
    <t>Product Thinking for Engineers</t>
  </si>
  <si>
    <t>Get more meaningful tech products into production</t>
  </si>
  <si>
    <t xml:space="preserve">Chelsea Troy </t>
  </si>
  <si>
    <t>Engineering Leadership</t>
  </si>
  <si>
    <t>Tech Leadership Tuesday with Anjuan Simmons: Navigating the Benefits and Risks of Adopting Generative AI, with Nathen Harvey</t>
  </si>
  <si>
    <t>Ask Anjuan Simmons and Nathen Harvey your questions around engineering leadership, AI, and developer productivity</t>
  </si>
  <si>
    <t>Anjuan Simmons Nathen Harvey</t>
  </si>
  <si>
    <t>AI Principles</t>
  </si>
  <si>
    <t>Network Troubleshooting with Generative AI</t>
  </si>
  <si>
    <t>Use Copilot and ChatGPT to Analyze, Diagnose, and Resolve Network Problems</t>
  </si>
  <si>
    <t>Scott Jernigan</t>
  </si>
  <si>
    <t>Large Language Models (LLMs)</t>
  </si>
  <si>
    <t>How LLMs Work</t>
  </si>
  <si>
    <t>Demystify how word embeddings power generative AI and LLMs like ChatGPT</t>
  </si>
  <si>
    <t>Kate Harwood</t>
  </si>
  <si>
    <t>AZ-103: Microsoft Azure Administrator</t>
  </si>
  <si>
    <t>Exam AZ-104: Microsoft Azure Administrator Crash Course</t>
  </si>
  <si>
    <t>Tim Warner</t>
  </si>
  <si>
    <t>Machine Learning</t>
  </si>
  <si>
    <t>Machine Learning Engineer Associate (MLA-C01) Bootcamp</t>
  </si>
  <si>
    <t>Get ready for the exam</t>
  </si>
  <si>
    <t>2025-01-15</t>
  </si>
  <si>
    <t>Yasir Khan</t>
  </si>
  <si>
    <t>Mastering Creative and Critical Thinking</t>
  </si>
  <si>
    <t>Boost innovation, collaboration and teamwork by improving your thinking skills.</t>
  </si>
  <si>
    <t>Emma Sue Prince</t>
  </si>
  <si>
    <t>Data Engineering</t>
  </si>
  <si>
    <t>Data Engineering Fundamentals in 2 Weeks</t>
  </si>
  <si>
    <t>Managing the Lifecycle of Data Projects</t>
  </si>
  <si>
    <t>Generative AI Microsoft Excel</t>
  </si>
  <si>
    <t>Generative AI for Excel</t>
  </si>
  <si>
    <t>Using ChatGPT, Copilot Pro, and AI add-ins to save time and work more efficiently</t>
  </si>
  <si>
    <t>Dawn Griffiths</t>
  </si>
  <si>
    <t>ChatGPT For Data Analytics</t>
  </si>
  <si>
    <t>How to 10x your data analysis productivity with generative AI</t>
  </si>
  <si>
    <t>Tobias Zwingmann</t>
  </si>
  <si>
    <t>AWS Networking</t>
  </si>
  <si>
    <t>AWS Technical Essentials</t>
  </si>
  <si>
    <t>Learn the key components of Amazon's cloud from compute, storage, and networking to managed services</t>
  </si>
  <si>
    <t>Mark Wilkins</t>
  </si>
  <si>
    <t>Getting Started with AutoGen</t>
  </si>
  <si>
    <t>How to build LLM-based AI agents using Microsoft’s AutoGen</t>
  </si>
  <si>
    <t>CompTIA Security+</t>
  </si>
  <si>
    <t>CompTIA Security+ Certification (SY0-701) Bootcamp</t>
  </si>
  <si>
    <t>Best way to break into the cybersecurity field +AI</t>
  </si>
  <si>
    <t>Prompting Copilot and ChatGPT for Code</t>
  </si>
  <si>
    <t>Essential prompting skills for GenAI-enhanced code</t>
  </si>
  <si>
    <t>Andrew Stellman</t>
  </si>
  <si>
    <t>Network Security Network Protocols Security Operations</t>
  </si>
  <si>
    <t>Network Protocols in Security Operations</t>
  </si>
  <si>
    <t>Gain hands-on skills to defend against evolving cyber threats</t>
  </si>
  <si>
    <t>Dr. Jude Osamor</t>
  </si>
  <si>
    <t>Generative AI for Leaders and Managers</t>
  </si>
  <si>
    <t>Use ChatGPT and Claude to help you set goals, delegate, coach, and give feedback</t>
  </si>
  <si>
    <t>Dave McKeown</t>
  </si>
  <si>
    <t>LangChain</t>
  </si>
  <si>
    <t>LangChain for Generative AI Pipelines</t>
  </si>
  <si>
    <t>Develop LLM chatbots, prompts, and workflows with LangChain</t>
  </si>
  <si>
    <t>Bruno Gonçalves</t>
  </si>
  <si>
    <t>Kubernetes Networking in 4 Hours</t>
  </si>
  <si>
    <t>Learn the ins and outs of networking on Kubernetes for any environment</t>
  </si>
  <si>
    <t>2025-01-16</t>
  </si>
  <si>
    <t>AWS Certified Security - Specialty</t>
  </si>
  <si>
    <t>AWS Certified Security - Specialty  (SCS-C02) Crash Course</t>
  </si>
  <si>
    <t>Your Ultimate Guide to Passing the SCS-C02 Exam</t>
  </si>
  <si>
    <t>Microsoft Azure</t>
  </si>
  <si>
    <t>Microsoft Certified Azure Data Scientist Associate (DP-100) Crash Course</t>
  </si>
  <si>
    <t>Develop machine learning solutions with Microsoft Azure</t>
  </si>
  <si>
    <t>Reza Salehi</t>
  </si>
  <si>
    <t>Modern Data Engineering Essentials</t>
  </si>
  <si>
    <t>Elevate your data engineering skills and be at the forefront of the GenAI/ML revolution</t>
  </si>
  <si>
    <t>Christina Taylor</t>
  </si>
  <si>
    <t>Data Literacy Bootcamp</t>
  </si>
  <si>
    <t>How to inspire business decisions with data</t>
  </si>
  <si>
    <t>Sarah Om</t>
  </si>
  <si>
    <t>Project Management Professional (PMP)</t>
  </si>
  <si>
    <t>PMP Certification Crash Course</t>
  </si>
  <si>
    <t>Exam prep and test taking tips from a certified PMP trainer set you up for success</t>
  </si>
  <si>
    <t>Asad Haque</t>
  </si>
  <si>
    <t>RHCSA EX200 Exam Prep Crash Course</t>
  </si>
  <si>
    <t>Master the essentials of RHCSA EX200 in just 4 hours</t>
  </si>
  <si>
    <t>Imran Afzal</t>
  </si>
  <si>
    <t>Hands-on Retrieval Augmented Generation (RAG)</t>
  </si>
  <si>
    <t>Using LlamaIndex and GPT-4 Turbo retrieval</t>
  </si>
  <si>
    <t xml:space="preserve">Jonathan Fernandes	</t>
  </si>
  <si>
    <t>ChatGPT and GitHub Copilot in 4 Hours</t>
  </si>
  <si>
    <t>Get Started with AI Services Right Now!</t>
  </si>
  <si>
    <t>Introduction to algorithms and data structures—with Interactivity</t>
  </si>
  <si>
    <t>A deep dive into seven fundamental data structures and how they can be used to improve the efficiency of your code</t>
  </si>
  <si>
    <t>George Heineman</t>
  </si>
  <si>
    <t>Generative AI Prompt Engineering</t>
  </si>
  <si>
    <t>GenAI and LLMs for Product Managers</t>
  </si>
  <si>
    <t>Tools and Frameworks to navigate GenAI throughout the product lifecyle</t>
  </si>
  <si>
    <t>Sudhir Wadhwa</t>
  </si>
  <si>
    <t>LLMs on Microsoft Azure</t>
  </si>
  <si>
    <t>Working with foundation models in the cloud</t>
  </si>
  <si>
    <t>Madhusudhan Konda</t>
  </si>
  <si>
    <t>GitHub Actions</t>
  </si>
  <si>
    <t>GitHub Actions in 4 Hours</t>
  </si>
  <si>
    <t>Build, Deploy, and Test CI/CD Pipelines from GitHub</t>
  </si>
  <si>
    <t>2025-01-17</t>
  </si>
  <si>
    <t>Paul Furlan</t>
  </si>
  <si>
    <t>Ansible in 4 Hours</t>
  </si>
  <si>
    <t>Get started with Ansible</t>
  </si>
  <si>
    <t>Product Management</t>
  </si>
  <si>
    <t>Essential Product Management Skills</t>
  </si>
  <si>
    <t>Top 20 skills you need to be a highly successful product manager</t>
  </si>
  <si>
    <t>Megan Andrew</t>
  </si>
  <si>
    <t>QA / Testing</t>
  </si>
  <si>
    <t>Software Design with Unit Tests</t>
  </si>
  <si>
    <t>Create practical and useful tests for better software quality</t>
  </si>
  <si>
    <t>2025-01-21</t>
  </si>
  <si>
    <t>Venkat Subramaniam</t>
  </si>
  <si>
    <t>AI-900: Microsoft Azure AI Fundamentals</t>
  </si>
  <si>
    <t>AWS AI Practitioner Certification (AIF-C01) Crash Course</t>
  </si>
  <si>
    <t>Get ready for the exam with hands-on exercises</t>
  </si>
  <si>
    <t>Architectural Patterns</t>
  </si>
  <si>
    <t>Architecture Fitness Functions by Example</t>
  </si>
  <si>
    <t>Exercises and case studies to create fitness functions in Java, .NET, Python, Javascript, and other technologies</t>
  </si>
  <si>
    <t>Neal Ford</t>
  </si>
  <si>
    <t>ChatGPT Prompt Engineering Cookbook</t>
  </si>
  <si>
    <t>Write Better Prompts to Get the Most Out Generative AI</t>
  </si>
  <si>
    <t>CISSP (Certified Information Systems Security Professional)</t>
  </si>
  <si>
    <t>CISSP Certification Crash Course [2024 Edition]</t>
  </si>
  <si>
    <t>Get the edge you need to ace the CISSP exam!</t>
  </si>
  <si>
    <t>Sari Greene</t>
  </si>
  <si>
    <t>Software Architecture Superstream: Software Architecture in the Age of AI</t>
  </si>
  <si>
    <t>Discover how AI impacts software architecture</t>
  </si>
  <si>
    <t>Collaboration</t>
  </si>
  <si>
    <t>Fundamentals of Collaboration</t>
  </si>
  <si>
    <t>Foster teamwork and reach solutions faster</t>
  </si>
  <si>
    <t>Creative Writing</t>
  </si>
  <si>
    <t>The Power of Storytelling</t>
  </si>
  <si>
    <t>Communicate Your Vision with Impact to Deliver Your Message and Get the Desired Outcome</t>
  </si>
  <si>
    <t>Carl Pritchard</t>
  </si>
  <si>
    <t>AI and LLM Cyber Risks and Mitigation</t>
  </si>
  <si>
    <t>A hands-on approach to safeguarding AI systems and managing vulnerabilities</t>
  </si>
  <si>
    <t>Generative AI AI Principles</t>
  </si>
  <si>
    <t>Generative AI for Everyone</t>
  </si>
  <si>
    <t>Understand generative AI applications, benefits, and risks</t>
  </si>
  <si>
    <t>2025-02-07</t>
  </si>
  <si>
    <t>Altaf Rehmani</t>
  </si>
  <si>
    <t>Linux Troubleshooting: Advanced Linux Techniques</t>
  </si>
  <si>
    <t>Learn what to do when Linux stops working</t>
  </si>
  <si>
    <t>Software Architecture Trade-Off Analysis</t>
  </si>
  <si>
    <t>Using architecture quantum to analyze static, dynamic, and communication coupling</t>
  </si>
  <si>
    <t>Machine Learning with Python</t>
  </si>
  <si>
    <t>Create Production-Quality Machine Learning Pipelines with Feature Engineering</t>
  </si>
  <si>
    <t>Noureddin Sadawi</t>
  </si>
  <si>
    <t>GitHub Copilot Certification Course</t>
  </si>
  <si>
    <t>Prepare to Pass Your Certification Exam for AI-Powered Coding</t>
  </si>
  <si>
    <t>Security Certifications</t>
  </si>
  <si>
    <t>Zero Trust Crash Course</t>
  </si>
  <si>
    <t>Expert guidance and preparation for the Certificate of Competence in Zero Trust (CCZT) Exam</t>
  </si>
  <si>
    <t>Introduction to Machine Learning in Cybersecurity</t>
  </si>
  <si>
    <t>Dr. Chuck Easttom</t>
  </si>
  <si>
    <t>Large Language Models (LLMs) MLOps</t>
  </si>
  <si>
    <t>Choosing the Right LLM</t>
  </si>
  <si>
    <t>How to select, train, and apply state-of-the-art LLMs to real-world business use cases</t>
  </si>
  <si>
    <t>Ed Donner</t>
  </si>
  <si>
    <t>System Design by Example</t>
  </si>
  <si>
    <t>Learn to design resilient systems for innovative technologies</t>
  </si>
  <si>
    <t>2025-02-10</t>
  </si>
  <si>
    <t>Generative AI for AWS Operations</t>
  </si>
  <si>
    <t>Implementing AWS Operations Using ChatGPT-Generated Scripts and Automation</t>
  </si>
  <si>
    <t>Databricks Machine Learning Associate Certification Prep</t>
  </si>
  <si>
    <t>Get ready to ace the Databricks Machine Learning Associate Certification exam!</t>
  </si>
  <si>
    <t>Prometheus</t>
  </si>
  <si>
    <t>Using Prometheus to Monitor Linux and Kubernetes</t>
  </si>
  <si>
    <t>Learn how to observe virtual machines and clusters in real time</t>
  </si>
  <si>
    <t>David L. Prowse</t>
  </si>
  <si>
    <t>Getting Started with Power BI</t>
  </si>
  <si>
    <t>Visualizing and sharing impactful data insights</t>
  </si>
  <si>
    <t>Java</t>
  </si>
  <si>
    <t>Java SE 21 Developer (1Z0-830) Crash Course</t>
  </si>
  <si>
    <t>A focused approach for exam success!</t>
  </si>
  <si>
    <t>Simon Roberts</t>
  </si>
  <si>
    <t>Professional Development</t>
  </si>
  <si>
    <t>Being Proactive</t>
  </si>
  <si>
    <t>Banish procrastination and harness initiative to achieve your goals</t>
  </si>
  <si>
    <t>Agile</t>
  </si>
  <si>
    <t>Clean Agile</t>
  </si>
  <si>
    <t>Python in 5 Weeks: Python Programming for Beginners—with Interactivity</t>
  </si>
  <si>
    <t>Python programming for beginners</t>
  </si>
  <si>
    <t>CCSP (Certified Cloud Security Professional)</t>
  </si>
  <si>
    <t>Certified Cloud Security Professional (CCSP): The Hard Parts</t>
  </si>
  <si>
    <t>Preparing for the 2024 exam +AI</t>
  </si>
  <si>
    <t>AWS AI &amp; Machine Learning Amazon Lex</t>
  </si>
  <si>
    <t>Getting Started With Amazon Q</t>
  </si>
  <si>
    <t>Use GenAI to boost app development and business productivity on AWS</t>
  </si>
  <si>
    <t>Making New Java Features Work For You</t>
  </si>
  <si>
    <t>Building robust, powerful applications with Java 9-19 and beyond</t>
  </si>
  <si>
    <t>Large Language Models (LLMs) Graph Analytics</t>
  </si>
  <si>
    <t>Getting Started with LangGraph</t>
  </si>
  <si>
    <t>Hands-on introduction to LangGraph for building multi-agent workflows</t>
  </si>
  <si>
    <t>Product Design with GenAI</t>
  </si>
  <si>
    <t>Leverage GenAI at every stage of your product design workflow</t>
  </si>
  <si>
    <t>2025-02-11</t>
  </si>
  <si>
    <t>Benjamin Dehant</t>
  </si>
  <si>
    <t>Algorithms for the Coding Interview</t>
  </si>
  <si>
    <t>Hands-On Practice with Interactive Visualizations</t>
  </si>
  <si>
    <t>Cay Horstmann</t>
  </si>
  <si>
    <t>Modern C++ Full Throttle with Paul Deitel: Intro to C++20 &amp; the Standard Library</t>
  </si>
  <si>
    <t>Presentation-Only Intro to Fundamentals, Arrays, Vectors, Pointers, OOP, Ranges, Views, Functional Programming; Brief Intro to Concepts, Modules &amp; Coroutines</t>
  </si>
  <si>
    <t>GitHub Copilot for Software Engineers</t>
  </si>
  <si>
    <t>How to 10x your productivity with generative AI</t>
  </si>
  <si>
    <t>Maintaining Legacy Software</t>
  </si>
  <si>
    <t>Software Development Superstream: Generative AI for Code Modernization</t>
  </si>
  <si>
    <t>New Manager Bootcamp</t>
  </si>
  <si>
    <t>Essential skills for managing and leading people</t>
  </si>
  <si>
    <t>Jennifer Stine Julie Jungalwala</t>
  </si>
  <si>
    <t>Enterprise Architecture</t>
  </si>
  <si>
    <t>Effective Enterprise Application Integration (EAI)</t>
  </si>
  <si>
    <t>Architectural styles and patterns to address complexities in IT ecosystems</t>
  </si>
  <si>
    <t>Karol Skrzymowski</t>
  </si>
  <si>
    <t>Security Architecture</t>
  </si>
  <si>
    <t>Security Architecture for Beginners</t>
  </si>
  <si>
    <t>From builder to planner +GenAI</t>
  </si>
  <si>
    <t>PowerPivot Data Analysis Expressions (DAX)</t>
  </si>
  <si>
    <t>Up and Running with Power Query, Power Pivot, and DAX in 90 Minutes</t>
  </si>
  <si>
    <t>Build and analyze data models using Excel’s trio of self-service BI tools</t>
  </si>
  <si>
    <t>Enrique Ruiz</t>
  </si>
  <si>
    <t>User Experience (UX)</t>
  </si>
  <si>
    <t>Introduction to UI &amp; UX design</t>
  </si>
  <si>
    <t>Fundamentals of design for non-designers</t>
  </si>
  <si>
    <t>Dave Pinke</t>
  </si>
  <si>
    <t>Organizational Leadership</t>
  </si>
  <si>
    <t>Leading with Impact</t>
  </si>
  <si>
    <t>Strategies for Leveraging Your Impact to Be a Positive, Powerful, and Authentic Leader</t>
  </si>
  <si>
    <t>2025-02-12</t>
  </si>
  <si>
    <t>Elisabet Vinberg Hearn Mandy Flint</t>
  </si>
  <si>
    <t>Microservice Communication Styles and Patterns</t>
  </si>
  <si>
    <t>Selecting the best solution for your system</t>
  </si>
  <si>
    <t>Microsoft 365</t>
  </si>
  <si>
    <t>Copilot for Microsoft 365</t>
  </si>
  <si>
    <t>Work smarter with generative AI in Word, Excel, PowerPoint, Outlook, and Teams</t>
  </si>
  <si>
    <t xml:space="preserve">Sujatha Das </t>
  </si>
  <si>
    <t>Mastering Technical Presentations by Example</t>
  </si>
  <si>
    <t>Concrete patterns and anti-patterns for successful communication</t>
  </si>
  <si>
    <t>Generative AI for Python Developers</t>
  </si>
  <si>
    <t>Maximize your Python, Jupyter, and Pandas productivity with ChatGPT and Copilot</t>
  </si>
  <si>
    <t>Job Seeking</t>
  </si>
  <si>
    <t>Job Search Strategies: How to Identify and Land Your Next Job</t>
  </si>
  <si>
    <t>7 steps to creating an effective job search system</t>
  </si>
  <si>
    <t>Product Delivery Beyond Features</t>
  </si>
  <si>
    <t>Enable product delivery beyond outputs to drive customer and business value</t>
  </si>
  <si>
    <t>David Pereira</t>
  </si>
  <si>
    <t>Reactive Spring</t>
  </si>
  <si>
    <t>Reactive Spring and Spring Boot</t>
  </si>
  <si>
    <t>Using the Spring WebFlux module to build high-performance reactive systems</t>
  </si>
  <si>
    <t>AWS Security</t>
  </si>
  <si>
    <t>Hands-on AWS Security</t>
  </si>
  <si>
    <t>Cloud security fundamentals in 7 projects</t>
  </si>
  <si>
    <t>DevOps</t>
  </si>
  <si>
    <t>Fundamentals of DevOps</t>
  </si>
  <si>
    <t>Learn the tools, processes, and culture of successful DevOps</t>
  </si>
  <si>
    <t>Chris Knotts</t>
  </si>
  <si>
    <t>Generative Artificial Intelligence with the OpenAI API for Developers</t>
  </si>
  <si>
    <t>Easily deploy ChatGPT, DALL-E, and CODEX in your own applications</t>
  </si>
  <si>
    <t>Generative AI for Presentations</t>
  </si>
  <si>
    <t>Use ChatGPT, Gemini, and Copilot to create better outlines, scripts, and slides</t>
  </si>
  <si>
    <t>2025-02-13</t>
  </si>
  <si>
    <t>Microservice Security</t>
  </si>
  <si>
    <t>Best practices for microservice-style architectures</t>
  </si>
  <si>
    <t>2025-02-18</t>
  </si>
  <si>
    <t>ChatGPT for Project Management</t>
  </si>
  <si>
    <t>Essential prompting techniques to accelerate project success</t>
  </si>
  <si>
    <t>2025-02-19</t>
  </si>
  <si>
    <t>Generative AI for Business Analysts in 60 Minutes</t>
  </si>
  <si>
    <t>Learn how GenAI is reshaping the role and how to prepare</t>
  </si>
  <si>
    <t>2025-02-21</t>
  </si>
  <si>
    <t>Angela Wick</t>
  </si>
  <si>
    <t>2025-03-03</t>
  </si>
  <si>
    <t>2025-03-04</t>
  </si>
  <si>
    <t>AI Superstream: Retrieval-Augmented Generation (RAG) in Production</t>
  </si>
  <si>
    <t>Leveraging Your Data for AI Applications</t>
  </si>
  <si>
    <t>Susan Shu Chang</t>
  </si>
  <si>
    <t>2025-03-05</t>
  </si>
  <si>
    <t>2025-03-06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</si>
  <si>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</si>
  <si>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</si>
  <si>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</si>
  <si>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</si>
  <si>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</si>
  <si>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</si>
  <si>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</si>
  <si>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Artificial intelligence</t>
  </si>
  <si>
    <t>An overview of AI and machine learning</t>
  </si>
  <si>
    <t>2025-03-20</t>
  </si>
  <si>
    <t>Alex Castrounis</t>
  </si>
  <si>
    <t>2025-03-25</t>
  </si>
  <si>
    <t>Perfecting Your ChatGPT Prompts</t>
  </si>
  <si>
    <t>Your Guide to Practical, Straightforward Prompt-Writing for Generative AI</t>
  </si>
  <si>
    <t>2025-03-27</t>
  </si>
  <si>
    <t>Artificial Intelligence (AI)</t>
  </si>
  <si>
    <t>Using Generative AI to Land Your Next Job</t>
  </si>
  <si>
    <t>Improve your search, optimize your resume, and practice for the interview</t>
  </si>
  <si>
    <t>2025-04-01</t>
  </si>
  <si>
    <t>Ben Gold</t>
  </si>
  <si>
    <t>2025-04-02</t>
  </si>
  <si>
    <t>Prompt Engineering for Generating AI Art and Text</t>
  </si>
  <si>
    <t>Nontechnical training on AI tools like Midjourney and ChatGPT, and others</t>
  </si>
  <si>
    <t>2025-04-03</t>
  </si>
  <si>
    <t>Mike Taylor</t>
  </si>
  <si>
    <t>2025-04-04</t>
  </si>
  <si>
    <t>2025-04-07</t>
  </si>
  <si>
    <t>2025-04-08</t>
  </si>
  <si>
    <t>2025-04-10</t>
  </si>
  <si>
    <t>2025-04-16</t>
  </si>
  <si>
    <t>2025-04-17</t>
  </si>
  <si>
    <t>2025-04-29</t>
  </si>
  <si>
    <t>Patterns for Building Resilient Microservices</t>
  </si>
  <si>
    <t>Improve the robustness of systems and resilience of teams</t>
  </si>
  <si>
    <t>2025-01-22</t>
  </si>
  <si>
    <t>Google Cloud Certified - Professional Cloud Architect</t>
  </si>
  <si>
    <t>GCP Professional Cloud Architect Crash Course</t>
  </si>
  <si>
    <t>Get fully prepared to crush the Google Cloud Platform Professional Cloud Architect Exam!</t>
  </si>
  <si>
    <t>Victor Dantas</t>
  </si>
  <si>
    <t>CCNA (200-301)</t>
  </si>
  <si>
    <t>CCNA 200-301 V1.1 Crash Course</t>
  </si>
  <si>
    <t>Get Ready to Crush the Cisco CCNA 200-301 Exam</t>
  </si>
  <si>
    <t>Wendell Odom</t>
  </si>
  <si>
    <t>Intermediate Python Classes</t>
  </si>
  <si>
    <t>A Practical Guide to Effective Pythonic Class Structure</t>
  </si>
  <si>
    <t>Trey Hunner</t>
  </si>
  <si>
    <t>Kubernetes in 4 Hours</t>
  </si>
  <si>
    <t>Get started with Kubernetes in 4 hours</t>
  </si>
  <si>
    <t>Difficult Conversations and Negotiations Made Easy</t>
  </si>
  <si>
    <t>A Framework to Achieve Better Outcomes from Challenging Communications</t>
  </si>
  <si>
    <t>Louisa Weinstein</t>
  </si>
  <si>
    <t>NLP with Deep Learning for Everyone</t>
  </si>
  <si>
    <t>Implementing Text Classification, Sequence to Sequence Models and Word Embedding Approaches with Keras</t>
  </si>
  <si>
    <t>Python Data Science Quick Start</t>
  </si>
  <si>
    <t>A Hands-On Intro to NumPy, Pandas, and Matplotlib</t>
  </si>
  <si>
    <t>2025-01-23</t>
  </si>
  <si>
    <t>Generative AI for Cloud Practitioners</t>
  </si>
  <si>
    <t>Learn how to implement generative AI solutions in the cloud</t>
  </si>
  <si>
    <t>Hands-on Prompt Engineering</t>
  </si>
  <si>
    <t>Improve content creation, automate development tasks, and generate insightful data analysis</t>
  </si>
  <si>
    <t>Docker Fundamentals in 2 Days</t>
  </si>
  <si>
    <t>Learn the core skills for Docker and Linux containers</t>
  </si>
  <si>
    <t>Microsoft Excel</t>
  </si>
  <si>
    <t>Foundations of Microsoft Excel</t>
  </si>
  <si>
    <t>Functions, tables, pivot tables, and Power Query</t>
  </si>
  <si>
    <t>Professional Communication Data Science</t>
  </si>
  <si>
    <t>How to Talk about Data</t>
  </si>
  <si>
    <t>Practical techniques to build your data fluency</t>
  </si>
  <si>
    <t>Dr. Fabienne Bünzli Martin J. Eppler</t>
  </si>
  <si>
    <t>Object-Oriented Programming in Python</t>
  </si>
  <si>
    <t>Containers</t>
  </si>
  <si>
    <t>Containers Fundamentals</t>
  </si>
  <si>
    <t>Learn the Core Concepts of Containers and Kubernetes</t>
  </si>
  <si>
    <t>Advanced Python: Asynchronous Programming with ‘async’ and ‘await’</t>
  </si>
  <si>
    <t>2025-01-24</t>
  </si>
  <si>
    <t>James Powell Cameron Riddell</t>
  </si>
  <si>
    <t>Event-Driven Architecture and Data</t>
  </si>
  <si>
    <t>A hands-on course for extracting and using events from existing data stores</t>
  </si>
  <si>
    <t>React in 4 Hours</t>
  </si>
  <si>
    <t>Kickstart Your React Web Application Development Skills</t>
  </si>
  <si>
    <t>Hands-On LLM Engineering</t>
  </si>
  <si>
    <t>Gain LLM Expertise: Level up your skills to build and deploy AI solutions with RAG, QLoRA and Agents.</t>
  </si>
  <si>
    <t>Using DAX in Microsoft Power BI</t>
  </si>
  <si>
    <t>Learn how to enrich your Power BI reports by using DAX calculations</t>
  </si>
  <si>
    <t>2025-01-27</t>
  </si>
  <si>
    <t>Daniil Maslyuk</t>
  </si>
  <si>
    <t>Leadership and Management</t>
  </si>
  <si>
    <t>Managing your manager</t>
  </si>
  <si>
    <t>Build the relationship key to your success</t>
  </si>
  <si>
    <t>Linux Networking &amp; Security Fundamentals</t>
  </si>
  <si>
    <t>Learn how to connect and harden Linux servers.</t>
  </si>
  <si>
    <t>GenAI Toolbox</t>
  </si>
  <si>
    <t>Choose the Best LLM for the Task at Hand</t>
  </si>
  <si>
    <t>Confidence / Motivation</t>
  </si>
  <si>
    <t>Developing Confidence at Work</t>
  </si>
  <si>
    <t>Learn powerful communication skills that build confidence and lead to success</t>
  </si>
  <si>
    <t>Debra Stevens</t>
  </si>
  <si>
    <t>Object-Oriented Architecture</t>
  </si>
  <si>
    <t>SOLID Principles of Object-Oriented and Agile Design</t>
  </si>
  <si>
    <t>Analyzing Architecture Risk</t>
  </si>
  <si>
    <t>Patterns and techniques to reduce risk and create a better architecture</t>
  </si>
  <si>
    <t>Mark Richards</t>
  </si>
  <si>
    <t>Python Code Cleanup</t>
  </si>
  <si>
    <t>How to Write Highly Readable Python Code Using ChatGPT and ClaudeAI?</t>
  </si>
  <si>
    <t>Lee Gaines</t>
  </si>
  <si>
    <t>Certification Exam Cram: CISSP</t>
  </si>
  <si>
    <t>Increase your chances of passing on the first attempt</t>
  </si>
  <si>
    <t>Architecture as Code</t>
  </si>
  <si>
    <t>Validate, measure, and align architecture with technical and business goals</t>
  </si>
  <si>
    <t>2025-01-28</t>
  </si>
  <si>
    <t>AWS Certified Solutions Architect - Associate</t>
  </si>
  <si>
    <t>AWS Certified Solutions Architect Associate (SAA-C03) Crash Course</t>
  </si>
  <si>
    <t>Get ready to crush the AWS Solutions Architect Associate exam!</t>
  </si>
  <si>
    <t>GitHub Copilot for Developers</t>
  </si>
  <si>
    <t>Unlock Your Coding Superpowers and Boost Productivity with GitHub Copilot</t>
  </si>
  <si>
    <t>ChatGPT for Software Engineers</t>
  </si>
  <si>
    <t>How to 10X your productivity with generative AI</t>
  </si>
  <si>
    <t>Optimizing LLMs with Fine-Tuning and Prompt Engineering</t>
  </si>
  <si>
    <t>Advanced Techniques for Enhancing Model Performance and Precision</t>
  </si>
  <si>
    <t>Technical Writing</t>
  </si>
  <si>
    <t>Fundamentals of Technical Writing</t>
  </si>
  <si>
    <t>How to explain complex ideas simply</t>
  </si>
  <si>
    <t>Python Data Structures and Comprehensions</t>
  </si>
  <si>
    <t>Level Up Your Python Skills</t>
  </si>
  <si>
    <t>AI Observability</t>
  </si>
  <si>
    <t>Frameworks for evaluating production LLMs</t>
  </si>
  <si>
    <t>Scott Munson</t>
  </si>
  <si>
    <t>Getting Started with LLM Agents using LangChain</t>
  </si>
  <si>
    <t>How to build AI agents using LangChain</t>
  </si>
  <si>
    <t>2025-01-29</t>
  </si>
  <si>
    <t>Microsoft Excel PowerPivot</t>
  </si>
  <si>
    <t>Mastering Microsoft Excel pivot tables</t>
  </si>
  <si>
    <t>Go beyond the basics to gain proficiency of this important skill</t>
  </si>
  <si>
    <t>How to Choose the Right LLM for your Application</t>
  </si>
  <si>
    <t>From GPT 3.5 to LLaMA, Falcon, Claude, and others</t>
  </si>
  <si>
    <t>AWS Certified Cloud Practitioner</t>
  </si>
  <si>
    <t>AWS Design Fundamentals</t>
  </si>
  <si>
    <t>Prepare for Amazon Web Services Solutions Architect - Associate certification</t>
  </si>
  <si>
    <t>Functional Programming in Java</t>
  </si>
  <si>
    <t>Working with streams, lambda expressions, and method references in Java SE8 and beyond</t>
  </si>
  <si>
    <t>2025-01-30</t>
  </si>
  <si>
    <t>Security</t>
  </si>
  <si>
    <t>Modern Cybersecurity Fundamentals</t>
  </si>
  <si>
    <t>Security Principles, Incident Response, Ethical Hacking, AI Security, Cloud, IoT, and more</t>
  </si>
  <si>
    <t>Open Source Intelligence (OSINT)</t>
  </si>
  <si>
    <t>Darknets and Dark Web Investigations</t>
  </si>
  <si>
    <t>Investigate and hunt organizational data on the Dark Web</t>
  </si>
  <si>
    <t>Joseph Mlodzianowski</t>
  </si>
  <si>
    <t>Accessibility</t>
  </si>
  <si>
    <t>Web Accessibility Workshop</t>
  </si>
  <si>
    <t>Auditing websites for accessible design, code, and content to empower all users</t>
  </si>
  <si>
    <t>Kathryn Grayson Nanz</t>
  </si>
  <si>
    <t>GenAI Superstream: Next-Level Work and Creativity with Generative AI</t>
  </si>
  <si>
    <t>Dan Shipper</t>
  </si>
  <si>
    <t>Microservices caching strategies</t>
  </si>
  <si>
    <t>Understanding Caching Topologies and Data Management</t>
  </si>
  <si>
    <t>Designing Complex Software Systems</t>
  </si>
  <si>
    <t>Design software to fundamentally improve people’s performance in the workplace</t>
  </si>
  <si>
    <t>Craig Errey</t>
  </si>
  <si>
    <t>Using Power Query in Microsoft Power BI, Excel, and Fabric</t>
  </si>
  <si>
    <t>Learn How to Get, Transform, and Combine Data by Using Power Query</t>
  </si>
  <si>
    <t>2025-01-31</t>
  </si>
  <si>
    <t>Advanced Python: Metaprogramming</t>
  </si>
  <si>
    <t>Learn techniques for better Python debugging, readability and library design</t>
  </si>
  <si>
    <t>James Powell</t>
  </si>
  <si>
    <t>Terraform</t>
  </si>
  <si>
    <t>Learn Infrastructure as Code with Terraform</t>
  </si>
  <si>
    <t>Create repeatable infrastructure with Terraform</t>
  </si>
  <si>
    <t>Robert Jordan</t>
  </si>
  <si>
    <t>Microservice fundamentals</t>
  </si>
  <si>
    <t>Understanding the power and complexity of microservice architectures</t>
  </si>
  <si>
    <t>2025-02-03</t>
  </si>
  <si>
    <t>Integrating AI in Java Projects</t>
  </si>
  <si>
    <t>Access ChatGPT, Claude, Gemini, and other AI tools in your Java programs</t>
  </si>
  <si>
    <t>Machine Learning from Scratch</t>
  </si>
  <si>
    <t>Build machine learning algorithms from scratch with Python</t>
  </si>
  <si>
    <t>Using AI Tools and Python to Automate Tasks</t>
  </si>
  <si>
    <t>Automating repetitive tasks for noncoders</t>
  </si>
  <si>
    <t>Cloud Security</t>
  </si>
  <si>
    <t>Kubernetes and Cloud Security Associate (KCSA) Exam Prep Crash Course</t>
  </si>
  <si>
    <t>A comprehensive overview of the exam</t>
  </si>
  <si>
    <t>React Best Practices</t>
  </si>
  <si>
    <t>Gain mastery of the world's most popular and powerful front-end library</t>
  </si>
  <si>
    <t>Knowledge Graphs &amp; Large Language Models Bootcamp</t>
  </si>
  <si>
    <t>Give meaning to your data and power your data science applications</t>
  </si>
  <si>
    <t>Panagiotis Alexopoulos</t>
  </si>
  <si>
    <t>Basic Rust Programming</t>
  </si>
  <si>
    <t>Kickstart your Rust journey with Command-Line Programs</t>
  </si>
  <si>
    <t>Ken Youens-Clark</t>
  </si>
  <si>
    <t>AWS Fundamentals</t>
  </si>
  <si>
    <t>Get hands-on with compute, storage, and databases</t>
  </si>
  <si>
    <t>Large Language Models (LLMs) Generative AI Unified Modeling Language (UML)</t>
  </si>
  <si>
    <t>Local LLMs Made Easy</t>
  </si>
  <si>
    <t>Using UI-based frameworks Jan AI and GPT4All</t>
  </si>
  <si>
    <t>Lisa Becker</t>
  </si>
  <si>
    <t>Infrastructure as Code</t>
  </si>
  <si>
    <t>Fundamentals of Infrastructure as Code</t>
  </si>
  <si>
    <t>Learning automation using Azure and GitHub Actions</t>
  </si>
  <si>
    <t>Adora Nwodo</t>
  </si>
  <si>
    <t>Practical Project Management Bootcamp</t>
  </si>
  <si>
    <t>Practical guidance for leading successful projects</t>
  </si>
  <si>
    <t>Nehal Patel</t>
  </si>
  <si>
    <t>Amazon Web Services (AWS)</t>
  </si>
  <si>
    <t>Getting Started with AWS</t>
  </si>
  <si>
    <t>Go from the AWS basics to deploying key services</t>
  </si>
  <si>
    <t>2025-02-04</t>
  </si>
  <si>
    <t>RESTFul Microservices APIs Bootcamp</t>
  </si>
  <si>
    <t>A 7-step methodology for designing resilient APIs</t>
  </si>
  <si>
    <t>Event-Driven Architecture</t>
  </si>
  <si>
    <t>Mastering Patterns in Event-Driven Architecture</t>
  </si>
  <si>
    <t>Achieving better responsiveness and scalability in your systems</t>
  </si>
  <si>
    <t>Python Cookbook: Recipes for AI and Machine Learning</t>
  </si>
  <si>
    <t>Master the art of data science in Python with a showcase of reusable projects</t>
  </si>
  <si>
    <t>PMP Exam Prep Boot Camp</t>
  </si>
  <si>
    <t>Confidently initiate a project, follow it along its lifecycle, and successfully complete it</t>
  </si>
  <si>
    <t>Samuel Parri</t>
  </si>
  <si>
    <t>Learn Linux in 3 Hours</t>
  </si>
  <si>
    <t>Learn the Basics to prepare yourself for a career in Linux</t>
  </si>
  <si>
    <t>ETL</t>
  </si>
  <si>
    <t>Building Your First ETL Data Platform</t>
  </si>
  <si>
    <t>Batch data extraction, warehousing, transformation, visualization, and analytics using off-the-shelf tools</t>
  </si>
  <si>
    <t>Sam Bail</t>
  </si>
  <si>
    <t>CCNP and CCIE Enterprise Core ENCOR 350-401</t>
  </si>
  <si>
    <t>CCNP and CCIE Enterprise Core ENCOR 350-401 Crash Course (2022 Update)</t>
  </si>
  <si>
    <t xml:space="preserve">Jason Gooley </t>
  </si>
  <si>
    <t>Mastering Communication Skills for Virtual Environments</t>
  </si>
  <si>
    <t>How to communicate, collaborate, and influence</t>
  </si>
  <si>
    <t>Business Intelligence</t>
  </si>
  <si>
    <t>Microsoft Fabric Analytics Engineer Associate Bootcamp (DP-600)</t>
  </si>
  <si>
    <t>Learn in-demand skills and become a certified Fabric Analytics Engineer</t>
  </si>
  <si>
    <t>2025-02-05</t>
  </si>
  <si>
    <t>Nikola Ilic</t>
  </si>
  <si>
    <t>LangChain4J</t>
  </si>
  <si>
    <t>Build AI-Based Applications And Implement RAG In Java</t>
  </si>
  <si>
    <t>Linux Performance Optimization</t>
  </si>
  <si>
    <t>Learn practical approaches to optimize Linux performance</t>
  </si>
  <si>
    <t>Exam AZ-305: Designing Microsoft Azure Infrastructure Solutions Crash Course</t>
  </si>
  <si>
    <t>Prepare for Exam AZ-305 to earn your Microsoft Azure Solutions Architect Expert badge</t>
  </si>
  <si>
    <t>Introduction to Python Programming</t>
  </si>
  <si>
    <t>Learn fundamental programming concepts in a beginner friendly language</t>
  </si>
  <si>
    <t>Introduction to Time Management Skills</t>
  </si>
  <si>
    <t>Gain control, achieve focus, and get more done</t>
  </si>
  <si>
    <t>Security Engineering Cloud Security</t>
  </si>
  <si>
    <t>Security Engineering Deep Dive</t>
  </si>
  <si>
    <t>Learn to secure your on-prem and cloud environments</t>
  </si>
  <si>
    <t>2025-02-06</t>
  </si>
  <si>
    <t>Distributed Systems</t>
  </si>
  <si>
    <t>Designing Distributed Systems</t>
  </si>
  <si>
    <t>Eight transactional saga patterns and their trade-offs</t>
  </si>
  <si>
    <t>AI-Enabled Programming, Networking, and Cybersecurity</t>
  </si>
  <si>
    <t>Practical Applications with ChatGPT, Copilot, and Beyond</t>
  </si>
  <si>
    <t>Azure AI Engineer Associate Certification (AI-102) Prep Bootcamp</t>
  </si>
  <si>
    <t>Terraform Fundamentals in 2 Days</t>
  </si>
  <si>
    <t>Managing Objects via RESTful APIs, Understanding Modules, and Harnessing Expressions in Record Time</t>
  </si>
  <si>
    <t>Mastering Power Query with Microsoft Excel</t>
  </si>
  <si>
    <t>Transform data, automate repetitive tasks, and open the door to Power BI</t>
  </si>
  <si>
    <t>Open Source GenAI with InstructLab and Granite</t>
  </si>
  <si>
    <t>Run an open-source AI and LLM on your own laptop</t>
  </si>
  <si>
    <t>Fine-tuning Open-Source Large Language Models</t>
  </si>
  <si>
    <t>Learn how to get most of BERT, Llama, Mistral and Tailor Them to Your Needs</t>
  </si>
  <si>
    <t>Christian Winkler</t>
  </si>
  <si>
    <t>AZ-700: Designing and Implementing Microsoft Azure Networking Solutions</t>
  </si>
  <si>
    <t>Azure Network Engineer Associate (AZ-700) Crash Course</t>
  </si>
  <si>
    <t>Hands-on GPT-4-Turbo and GPT-4o</t>
  </si>
  <si>
    <t>OpenAI's New GPT-4 Models and What You Need to Know</t>
  </si>
  <si>
    <t>AI Agents A-Z</t>
  </si>
  <si>
    <t>Master AI agents: frameworks, deployment, evaluation, best practices, and more</t>
  </si>
  <si>
    <t>Algorithms for Everyone</t>
  </si>
  <si>
    <t>Learn the essential concepts that underpin effective programming</t>
  </si>
  <si>
    <t>Eric T. Freeman</t>
  </si>
  <si>
    <t>Hands-on GitHub Copilot</t>
  </si>
  <si>
    <t>Practical tips and best practices</t>
  </si>
  <si>
    <t>SQL</t>
  </si>
  <si>
    <t>Writing Better SQL in 90 Minutes—with Interactivity</t>
  </si>
  <si>
    <t>Practical tips for writing more efficient SQL queries</t>
  </si>
  <si>
    <t>Alice Zhao</t>
  </si>
  <si>
    <t>Data Science</t>
  </si>
  <si>
    <t>Essential Math for Data Science in 4 Weeks—with Interactivity</t>
  </si>
  <si>
    <t>Achieve practical math proficiency using Python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</si>
</sst>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f>HYPERLINK("https://learning.oreilly.com/live-events/powerful-public-speaking/0642572007903/0642572007902", "0642572007902")</f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b">
        <v>0</v>
      </c>
    </row>
    <row r="3" spans="1:7">
      <c r="A3">
        <f>HYPERLINK("https://learning.oreilly.com/live-events/system-design-interview-boot-camp/0636920090983/0642572011423", "0642572011423")</f>
        <v>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b">
        <v>0</v>
      </c>
    </row>
    <row r="4" spans="1:7">
      <c r="A4">
        <f>HYPERLINK("https://learning.oreilly.com/live-events/microservices-bootcamp/0642572005573/0642572009590", "0642572009590")</f>
        <v>0</v>
      </c>
      <c r="B4" t="s">
        <v>17</v>
      </c>
      <c r="C4" t="s">
        <v>18</v>
      </c>
      <c r="D4" t="s">
        <v>19</v>
      </c>
      <c r="E4" t="s">
        <v>15</v>
      </c>
      <c r="F4" t="s">
        <v>20</v>
      </c>
      <c r="G4" t="b">
        <v>0</v>
      </c>
    </row>
    <row r="5" spans="1:7">
      <c r="A5">
        <f>HYPERLINK("https://learning.oreilly.com/live-events/power-bi-bootcamp/0636920075690/0642572011036", "0642572011036")</f>
        <v>0</v>
      </c>
      <c r="B5" t="s">
        <v>21</v>
      </c>
      <c r="C5" t="s">
        <v>22</v>
      </c>
      <c r="E5" t="s">
        <v>15</v>
      </c>
      <c r="F5" t="s">
        <v>23</v>
      </c>
      <c r="G5" t="b">
        <v>0</v>
      </c>
    </row>
    <row r="6" spans="1:7">
      <c r="A6">
        <f>HYPERLINK("https://learning.oreilly.com/live-events/using-generative-ai-to-boost-your-personal-productivity/0636920099736/0642572009075", "0642572009075")</f>
        <v>0</v>
      </c>
      <c r="B6" t="s">
        <v>24</v>
      </c>
      <c r="C6" t="s">
        <v>25</v>
      </c>
      <c r="D6" t="s">
        <v>26</v>
      </c>
      <c r="E6" t="s">
        <v>15</v>
      </c>
      <c r="F6" t="s">
        <v>27</v>
      </c>
      <c r="G6" t="b">
        <v>0</v>
      </c>
    </row>
    <row r="7" spans="1:7">
      <c r="A7">
        <f>HYPERLINK("https://learning.oreilly.com/live-events/ansible-ai/0642572011168/0642572011167", "0642572011167")</f>
        <v>0</v>
      </c>
      <c r="B7" t="s">
        <v>28</v>
      </c>
      <c r="C7" t="s">
        <v>29</v>
      </c>
      <c r="D7" t="s">
        <v>30</v>
      </c>
      <c r="E7" t="s">
        <v>15</v>
      </c>
      <c r="F7" t="s">
        <v>31</v>
      </c>
      <c r="G7" t="b">
        <v>0</v>
      </c>
    </row>
    <row r="8" spans="1:7">
      <c r="A8">
        <f>HYPERLINK("https://learning.oreilly.com/live-events/leveraging-ai-for-effective-project-management/0642572000362/0642572010477", "0642572010477")</f>
        <v>0</v>
      </c>
      <c r="B8" t="s">
        <v>32</v>
      </c>
      <c r="C8" t="s">
        <v>33</v>
      </c>
      <c r="D8" t="s">
        <v>34</v>
      </c>
      <c r="E8" t="s">
        <v>15</v>
      </c>
      <c r="F8" t="s">
        <v>35</v>
      </c>
      <c r="G8" t="b">
        <v>0</v>
      </c>
    </row>
    <row r="9" spans="1:7">
      <c r="A9">
        <f>HYPERLINK("https://learning.oreilly.com/live-events/c-essentials-stl-algorithms/0636920056821/0642572011290", "0642572011290")</f>
        <v>0</v>
      </c>
      <c r="B9" t="s">
        <v>36</v>
      </c>
      <c r="C9" t="s">
        <v>37</v>
      </c>
      <c r="D9" t="s">
        <v>38</v>
      </c>
      <c r="E9" t="s">
        <v>15</v>
      </c>
      <c r="F9" t="s">
        <v>39</v>
      </c>
      <c r="G9" t="b">
        <v>0</v>
      </c>
    </row>
    <row r="10" spans="1:7">
      <c r="A10">
        <f>HYPERLINK("https://learning.oreilly.com/live-events/build-your-critical-thinking-skills-in-3-weeks/0636920064650/0642572012539", "0642572012539")</f>
        <v>0</v>
      </c>
      <c r="B10" t="s">
        <v>40</v>
      </c>
      <c r="C10" t="s">
        <v>41</v>
      </c>
      <c r="D10" t="s">
        <v>42</v>
      </c>
      <c r="E10" t="s">
        <v>15</v>
      </c>
      <c r="F10" t="s">
        <v>43</v>
      </c>
      <c r="G10" t="b">
        <v>0</v>
      </c>
    </row>
    <row r="11" spans="1:7">
      <c r="A11">
        <f>HYPERLINK("https://learning.oreilly.com/live-events/hands-on-python-foundations-in-3-weeks/0636920066509/0642572011152", "0642572011152")</f>
        <v>0</v>
      </c>
      <c r="B11" t="s">
        <v>44</v>
      </c>
      <c r="C11" t="s">
        <v>45</v>
      </c>
      <c r="D11" t="s">
        <v>46</v>
      </c>
      <c r="E11" t="s">
        <v>15</v>
      </c>
      <c r="F11" t="s">
        <v>47</v>
      </c>
      <c r="G11" t="b">
        <v>0</v>
      </c>
    </row>
    <row r="12" spans="1:7">
      <c r="A12">
        <f>HYPERLINK("https://learning.oreilly.com/live-events/90-minutes-to-better-decision-making/0636920298557/0642572012013", "0642572012013")</f>
        <v>0</v>
      </c>
      <c r="B12" t="s">
        <v>40</v>
      </c>
      <c r="C12" t="s">
        <v>48</v>
      </c>
      <c r="D12" t="s">
        <v>49</v>
      </c>
      <c r="E12" t="s">
        <v>15</v>
      </c>
      <c r="F12" t="s">
        <v>50</v>
      </c>
      <c r="G12" t="b">
        <v>0</v>
      </c>
    </row>
    <row r="13" spans="1:7">
      <c r="A13">
        <f>HYPERLINK("https://learning.oreilly.com/live-events/ai-and-ml-algorithms-for-non-mathematicians-and-data-science-beginners/0636920099583/0642572011549", "0642572011549")</f>
        <v>0</v>
      </c>
      <c r="B13" t="s">
        <v>51</v>
      </c>
      <c r="C13" t="s">
        <v>52</v>
      </c>
      <c r="D13" t="s">
        <v>53</v>
      </c>
      <c r="E13" t="s">
        <v>15</v>
      </c>
      <c r="F13" t="s">
        <v>54</v>
      </c>
      <c r="G13" t="b">
        <v>0</v>
      </c>
    </row>
    <row r="14" spans="1:7">
      <c r="A14">
        <f>HYPERLINK("https://learning.oreilly.com/live-events/tls-handshake-deep-dive-tls-v13/0642572000588/0642572011405", "0642572011405")</f>
        <v>0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b">
        <v>0</v>
      </c>
    </row>
    <row r="15" spans="1:7">
      <c r="A15">
        <f>HYPERLINK("https://learning.oreilly.com/live-events/hands-on-aws-in-3-weeks/0636920057763/0642572011194", "0642572011194")</f>
        <v>0</v>
      </c>
      <c r="B15" t="s">
        <v>60</v>
      </c>
      <c r="C15" t="s">
        <v>61</v>
      </c>
      <c r="D15" t="s">
        <v>62</v>
      </c>
      <c r="E15" t="s">
        <v>58</v>
      </c>
      <c r="F15" t="s">
        <v>63</v>
      </c>
      <c r="G15" t="b">
        <v>0</v>
      </c>
    </row>
    <row r="16" spans="1:7">
      <c r="A16">
        <f>HYPERLINK("https://learning.oreilly.com/live-events/google-cloud-associate-cloud-engineer-bootcamp/0642572003483/0642572011450", "0642572011450")</f>
        <v>0</v>
      </c>
      <c r="B16" t="s">
        <v>64</v>
      </c>
      <c r="C16" t="s">
        <v>65</v>
      </c>
      <c r="D16" t="s">
        <v>66</v>
      </c>
      <c r="E16" t="s">
        <v>58</v>
      </c>
      <c r="F16" t="s">
        <v>67</v>
      </c>
      <c r="G16" t="b">
        <v>0</v>
      </c>
    </row>
    <row r="17" spans="1:7">
      <c r="A17">
        <f>HYPERLINK("https://learning.oreilly.com/live-events/prompting-bootcamp/0636920097098/0642572010290", "0642572010290")</f>
        <v>0</v>
      </c>
      <c r="B17" t="s">
        <v>68</v>
      </c>
      <c r="C17" t="s">
        <v>69</v>
      </c>
      <c r="D17" t="s">
        <v>70</v>
      </c>
      <c r="E17" t="s">
        <v>58</v>
      </c>
      <c r="F17" t="s">
        <v>71</v>
      </c>
      <c r="G17" t="b">
        <v>0</v>
      </c>
    </row>
    <row r="18" spans="1:7">
      <c r="A18">
        <f>HYPERLINK("https://learning.oreilly.com/live-events/cursor-for-software-engineers/0642572012981/0642572012980", "0642572012980")</f>
        <v>0</v>
      </c>
      <c r="B18" t="s">
        <v>72</v>
      </c>
      <c r="C18" t="s">
        <v>73</v>
      </c>
      <c r="D18" t="s">
        <v>74</v>
      </c>
      <c r="E18" t="s">
        <v>58</v>
      </c>
      <c r="F18" t="s">
        <v>75</v>
      </c>
      <c r="G18" t="b">
        <v>0</v>
      </c>
    </row>
    <row r="19" spans="1:7">
      <c r="A19">
        <f>HYPERLINK("https://learning.oreilly.com/live-events/python-full-throttle-with-paul-deitel-a-one-day-fast-paced-code-intensive-python-presentation/0636920274667/0642572010860", "0642572010860")</f>
        <v>0</v>
      </c>
      <c r="B19" t="s">
        <v>44</v>
      </c>
      <c r="C19" t="s">
        <v>76</v>
      </c>
      <c r="E19" t="s">
        <v>58</v>
      </c>
      <c r="F19" t="s">
        <v>77</v>
      </c>
      <c r="G19" t="b">
        <v>0</v>
      </c>
    </row>
    <row r="20" spans="1:7">
      <c r="A20">
        <f>HYPERLINK("https://learning.oreilly.com/live-events/linux-fundamentals-bootcamp/0636920325130/0642572011160", "0642572011160")</f>
        <v>0</v>
      </c>
      <c r="B20" t="s">
        <v>78</v>
      </c>
      <c r="C20" t="s">
        <v>79</v>
      </c>
      <c r="D20" t="s">
        <v>80</v>
      </c>
      <c r="E20" t="s">
        <v>58</v>
      </c>
      <c r="F20" t="s">
        <v>31</v>
      </c>
      <c r="G20" t="b">
        <v>0</v>
      </c>
    </row>
    <row r="21" spans="1:7">
      <c r="A21">
        <f>HYPERLINK("https://learning.oreilly.com/live-events/building-text-based-applications-with-the-chatgpt-api-and-langchain/0636920092333/0642572010889", "0642572010889")</f>
        <v>0</v>
      </c>
      <c r="B21" t="s">
        <v>81</v>
      </c>
      <c r="C21" t="s">
        <v>82</v>
      </c>
      <c r="D21" t="s">
        <v>83</v>
      </c>
      <c r="E21" t="s">
        <v>58</v>
      </c>
      <c r="F21" t="s">
        <v>84</v>
      </c>
      <c r="G21" t="b">
        <v>0</v>
      </c>
    </row>
    <row r="22" spans="1:7">
      <c r="A22">
        <f>HYPERLINK("https://learning.oreilly.com/live-events/data-analysis-with-python/0642572100057/0642572009836", "0642572009836")</f>
        <v>0</v>
      </c>
      <c r="B22" t="s">
        <v>44</v>
      </c>
      <c r="C22" t="s">
        <v>85</v>
      </c>
      <c r="D22" t="s">
        <v>86</v>
      </c>
      <c r="E22" t="s">
        <v>58</v>
      </c>
      <c r="F22" t="s">
        <v>87</v>
      </c>
      <c r="G22" t="b">
        <v>0</v>
      </c>
    </row>
    <row r="23" spans="1:7">
      <c r="A23">
        <f>HYPERLINK("https://learning.oreilly.com/live-events/large-language-models-and-chatgpt-in-3-weeks/0636920090988/0642572010864", "0642572010864")</f>
        <v>0</v>
      </c>
      <c r="B23" t="s">
        <v>81</v>
      </c>
      <c r="C23" t="s">
        <v>88</v>
      </c>
      <c r="D23" t="s">
        <v>89</v>
      </c>
      <c r="E23" t="s">
        <v>58</v>
      </c>
      <c r="F23" t="s">
        <v>90</v>
      </c>
      <c r="G23" t="b">
        <v>0</v>
      </c>
    </row>
    <row r="24" spans="1:7">
      <c r="A24">
        <f>HYPERLINK("https://learning.oreilly.com/live-events/generative-ai-for-finance-in-60-minutes/0636920097023/0642572009524", "0642572009524")</f>
        <v>0</v>
      </c>
      <c r="B24" t="s">
        <v>91</v>
      </c>
      <c r="C24" t="s">
        <v>92</v>
      </c>
      <c r="D24" t="s">
        <v>93</v>
      </c>
      <c r="E24" t="s">
        <v>58</v>
      </c>
      <c r="F24" t="s">
        <v>94</v>
      </c>
      <c r="G24" t="b">
        <v>0</v>
      </c>
    </row>
    <row r="25" spans="1:7">
      <c r="A25">
        <f>HYPERLINK("https://learning.oreilly.com/live-events/domain-driven-design-first-steps/0636920436867/0642572011839", "0642572011839")</f>
        <v>0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b">
        <v>0</v>
      </c>
    </row>
    <row r="26" spans="1:7">
      <c r="A26">
        <f>HYPERLINK("https://learning.oreilly.com/live-events/gitops-for-kubernetes/0636920078987/0642572011216", "0642572011216")</f>
        <v>0</v>
      </c>
      <c r="B26" t="s">
        <v>100</v>
      </c>
      <c r="C26" t="s">
        <v>101</v>
      </c>
      <c r="D26" t="s">
        <v>102</v>
      </c>
      <c r="E26" t="s">
        <v>98</v>
      </c>
      <c r="F26" t="s">
        <v>103</v>
      </c>
      <c r="G26" t="b">
        <v>0</v>
      </c>
    </row>
    <row r="27" spans="1:7">
      <c r="A27">
        <f>HYPERLINK("https://learning.oreilly.com/live-events/use-git-like-a-pro/0790145082658/0642572011555", "0642572011555")</f>
        <v>0</v>
      </c>
      <c r="B27" t="s">
        <v>104</v>
      </c>
      <c r="C27" t="s">
        <v>105</v>
      </c>
      <c r="D27" t="s">
        <v>106</v>
      </c>
      <c r="E27" t="s">
        <v>98</v>
      </c>
      <c r="F27" t="s">
        <v>107</v>
      </c>
      <c r="G27" t="b">
        <v>0</v>
      </c>
    </row>
    <row r="28" spans="1:7">
      <c r="A28">
        <f>HYPERLINK("https://learning.oreilly.com/live-events/generative-ai-for-scrum-teams/0790145067209/0642572009748", "0642572009748")</f>
        <v>0</v>
      </c>
      <c r="B28" t="s">
        <v>108</v>
      </c>
      <c r="C28" t="s">
        <v>109</v>
      </c>
      <c r="D28" t="s">
        <v>110</v>
      </c>
      <c r="E28" t="s">
        <v>98</v>
      </c>
      <c r="F28" t="s">
        <v>111</v>
      </c>
      <c r="G28" t="b">
        <v>0</v>
      </c>
    </row>
    <row r="29" spans="1:7">
      <c r="A29">
        <f>HYPERLINK("https://learning.oreilly.com/live-events/how-to-give-great-presentations/0636920054691/0642572011681", "0642572011681")</f>
        <v>0</v>
      </c>
      <c r="B29" t="s">
        <v>112</v>
      </c>
      <c r="C29" t="s">
        <v>113</v>
      </c>
      <c r="D29" t="s">
        <v>114</v>
      </c>
      <c r="E29" t="s">
        <v>98</v>
      </c>
      <c r="F29" t="s">
        <v>115</v>
      </c>
      <c r="G29" t="b">
        <v>0</v>
      </c>
    </row>
    <row r="30" spans="1:7">
      <c r="A30">
        <f>HYPERLINK("https://learning.oreilly.com/live-events/typescript-fundamentals/0636920483021/0642572011258", "0642572011258")</f>
        <v>0</v>
      </c>
      <c r="B30" t="s">
        <v>116</v>
      </c>
      <c r="C30" t="s">
        <v>117</v>
      </c>
      <c r="D30" t="s">
        <v>118</v>
      </c>
      <c r="E30" t="s">
        <v>98</v>
      </c>
      <c r="F30" t="s">
        <v>119</v>
      </c>
      <c r="G30" t="b">
        <v>0</v>
      </c>
    </row>
    <row r="31" spans="1:7">
      <c r="A31">
        <f>HYPERLINK("https://learning.oreilly.com/live-events/design-patterns-boot-camp/0636920057253/0642572012146", "0642572012146")</f>
        <v>0</v>
      </c>
      <c r="B31" t="s">
        <v>120</v>
      </c>
      <c r="C31" t="s">
        <v>121</v>
      </c>
      <c r="D31" t="s">
        <v>122</v>
      </c>
      <c r="E31" t="s">
        <v>98</v>
      </c>
      <c r="F31" t="s">
        <v>123</v>
      </c>
      <c r="G31" t="b">
        <v>0</v>
      </c>
    </row>
    <row r="32" spans="1:7">
      <c r="A32">
        <f>HYPERLINK("https://learning.oreilly.com/live-events/mastering-effective-stakeholder-engagement/0642572011362/0642572011361", "0642572011361")</f>
        <v>0</v>
      </c>
      <c r="B32" t="s">
        <v>124</v>
      </c>
      <c r="C32" t="s">
        <v>125</v>
      </c>
      <c r="D32" t="s">
        <v>126</v>
      </c>
      <c r="E32" t="s">
        <v>98</v>
      </c>
      <c r="F32" t="s">
        <v>127</v>
      </c>
      <c r="G32" t="b">
        <v>0</v>
      </c>
    </row>
    <row r="33" spans="1:7">
      <c r="A33">
        <f>HYPERLINK("https://learning.oreilly.com/live-events/tcpip-fundamentals/0636920345237/0642572011973", "0642572011973")</f>
        <v>0</v>
      </c>
      <c r="B33" t="s">
        <v>128</v>
      </c>
      <c r="C33" t="s">
        <v>129</v>
      </c>
      <c r="D33" t="s">
        <v>130</v>
      </c>
      <c r="E33" t="s">
        <v>98</v>
      </c>
      <c r="F33" t="s">
        <v>131</v>
      </c>
      <c r="G33" t="b">
        <v>0</v>
      </c>
    </row>
    <row r="34" spans="1:7">
      <c r="A34">
        <f>HYPERLINK("https://learning.oreilly.com/live-events/github-fundamentals-bootcamp/0636920099607/0642572009920", "0642572009920")</f>
        <v>0</v>
      </c>
      <c r="B34" t="s">
        <v>132</v>
      </c>
      <c r="C34" t="s">
        <v>133</v>
      </c>
      <c r="D34" t="s">
        <v>134</v>
      </c>
      <c r="E34" t="s">
        <v>98</v>
      </c>
      <c r="F34" t="s">
        <v>135</v>
      </c>
      <c r="G34" t="b">
        <v>0</v>
      </c>
    </row>
    <row r="35" spans="1:7">
      <c r="A35">
        <f>HYPERLINK("https://learning.oreilly.com/live-events/build-your-own-ai-lab/0642572007495/0642572011888", "0642572011888")</f>
        <v>0</v>
      </c>
      <c r="B35" t="s">
        <v>136</v>
      </c>
      <c r="C35" t="s">
        <v>137</v>
      </c>
      <c r="D35" t="s">
        <v>138</v>
      </c>
      <c r="E35" t="s">
        <v>139</v>
      </c>
      <c r="F35" t="s">
        <v>140</v>
      </c>
      <c r="G35" t="b">
        <v>0</v>
      </c>
    </row>
    <row r="36" spans="1:7">
      <c r="A36">
        <f>HYPERLINK("https://learning.oreilly.com/live-events/rust-in-4-hours/0636920063666/0642572011853", "0642572011853")</f>
        <v>0</v>
      </c>
      <c r="B36" t="s">
        <v>141</v>
      </c>
      <c r="C36" t="s">
        <v>142</v>
      </c>
      <c r="D36" t="s">
        <v>143</v>
      </c>
      <c r="E36" t="s">
        <v>139</v>
      </c>
      <c r="F36" t="s">
        <v>144</v>
      </c>
      <c r="G36" t="b">
        <v>0</v>
      </c>
    </row>
    <row r="37" spans="1:7">
      <c r="A37">
        <f>HYPERLINK("https://learning.oreilly.com/live-events/getting-started-with-kubernetes/0790145086106/0642572010445", "0642572010445")</f>
        <v>0</v>
      </c>
      <c r="B37" t="s">
        <v>100</v>
      </c>
      <c r="C37" t="s">
        <v>145</v>
      </c>
      <c r="D37" t="s">
        <v>146</v>
      </c>
      <c r="E37" t="s">
        <v>139</v>
      </c>
      <c r="F37" t="s">
        <v>147</v>
      </c>
      <c r="G37" t="b">
        <v>0</v>
      </c>
    </row>
    <row r="38" spans="1:7">
      <c r="A38">
        <f>HYPERLINK("https://learning.oreilly.com/live-events/beginning-splunk/0636920372424/0642572011823", "0642572011823")</f>
        <v>0</v>
      </c>
      <c r="B38" t="s">
        <v>148</v>
      </c>
      <c r="C38" t="s">
        <v>149</v>
      </c>
      <c r="D38" t="s">
        <v>150</v>
      </c>
      <c r="E38" t="s">
        <v>139</v>
      </c>
      <c r="F38" t="s">
        <v>151</v>
      </c>
      <c r="G38" t="b">
        <v>0</v>
      </c>
    </row>
    <row r="39" spans="1:7">
      <c r="A39">
        <f>HYPERLINK("https://learning.oreilly.com/live-events/communicating-software-architecture/0636920078578/0642572012233", "0642572012233")</f>
        <v>0</v>
      </c>
      <c r="B39" t="s">
        <v>12</v>
      </c>
      <c r="C39" t="s">
        <v>152</v>
      </c>
      <c r="D39" t="s">
        <v>153</v>
      </c>
      <c r="E39" t="s">
        <v>139</v>
      </c>
      <c r="F39" t="s">
        <v>154</v>
      </c>
      <c r="G39" t="b">
        <v>0</v>
      </c>
    </row>
    <row r="40" spans="1:7">
      <c r="A40">
        <f>HYPERLINK("https://learning.oreilly.com/live-events/advanced-jira-for-agile-projects/0636920086083/0642572011872", "0642572011872")</f>
        <v>0</v>
      </c>
      <c r="B40" t="s">
        <v>155</v>
      </c>
      <c r="C40" t="s">
        <v>156</v>
      </c>
      <c r="D40" t="s">
        <v>157</v>
      </c>
      <c r="E40" t="s">
        <v>139</v>
      </c>
      <c r="F40" t="s">
        <v>158</v>
      </c>
      <c r="G40" t="b">
        <v>0</v>
      </c>
    </row>
    <row r="41" spans="1:7">
      <c r="A41">
        <f>HYPERLINK("https://learning.oreilly.com/live-events/spring-ai/0790145045396/0642572010092", "0642572010092")</f>
        <v>0</v>
      </c>
      <c r="B41" t="s">
        <v>159</v>
      </c>
      <c r="C41" t="s">
        <v>160</v>
      </c>
      <c r="D41" t="s">
        <v>161</v>
      </c>
      <c r="E41" t="s">
        <v>162</v>
      </c>
      <c r="F41" t="s">
        <v>163</v>
      </c>
      <c r="G41" t="b">
        <v>0</v>
      </c>
    </row>
    <row r="42" spans="1:7">
      <c r="A42">
        <f>HYPERLINK("https://learning.oreilly.com/live-events/writing-effective-prompts-for-chatgpt/0636920090058/0642572009662", "0642572009662")</f>
        <v>0</v>
      </c>
      <c r="B42" t="s">
        <v>68</v>
      </c>
      <c r="C42" t="s">
        <v>164</v>
      </c>
      <c r="D42" t="s">
        <v>165</v>
      </c>
      <c r="E42" t="s">
        <v>162</v>
      </c>
      <c r="F42" t="s">
        <v>166</v>
      </c>
      <c r="G42" t="b">
        <v>0</v>
      </c>
    </row>
    <row r="43" spans="1:7">
      <c r="A43">
        <f>HYPERLINK("https://learning.oreilly.com/live-events/software-architecture-by-example/0636920261797/0642572010195", "0642572010195")</f>
        <v>0</v>
      </c>
      <c r="B43" t="s">
        <v>12</v>
      </c>
      <c r="C43" t="s">
        <v>167</v>
      </c>
      <c r="D43" t="s">
        <v>168</v>
      </c>
      <c r="E43" t="s">
        <v>162</v>
      </c>
      <c r="F43" t="s">
        <v>169</v>
      </c>
      <c r="G43" t="b">
        <v>0</v>
      </c>
    </row>
    <row r="44" spans="1:7">
      <c r="A44">
        <f>HYPERLINK("https://learning.oreilly.com/live-events/building-agents-with-openais-gpt-assistants-api/0642572010712/0642572010711", "0642572010711")</f>
        <v>0</v>
      </c>
      <c r="B44" t="s">
        <v>81</v>
      </c>
      <c r="C44" t="s">
        <v>170</v>
      </c>
      <c r="D44" t="s">
        <v>171</v>
      </c>
      <c r="E44" t="s">
        <v>162</v>
      </c>
      <c r="F44" t="s">
        <v>84</v>
      </c>
      <c r="G44" t="b">
        <v>1</v>
      </c>
    </row>
    <row r="45" spans="1:7">
      <c r="A45">
        <f>HYPERLINK("https://learning.oreilly.com/live-events/red-hat-certified-system-administrator-rhcsa-rhel-9-crash-course/0636920077845/0642572011107", "0642572011107")</f>
        <v>0</v>
      </c>
      <c r="B45" t="s">
        <v>172</v>
      </c>
      <c r="C45" t="s">
        <v>173</v>
      </c>
      <c r="D45" t="s">
        <v>174</v>
      </c>
      <c r="E45" t="s">
        <v>162</v>
      </c>
      <c r="F45" t="s">
        <v>31</v>
      </c>
      <c r="G45" t="b">
        <v>0</v>
      </c>
    </row>
    <row r="46" spans="1:7">
      <c r="A46">
        <f>HYPERLINK("https://learning.oreilly.com/live-events/hashicorp-certified-terraform-associate-certification-crash-course/0636920072267/0642572010999", "0642572010999")</f>
        <v>0</v>
      </c>
      <c r="B46" t="s">
        <v>175</v>
      </c>
      <c r="C46" t="s">
        <v>176</v>
      </c>
      <c r="D46" t="s">
        <v>177</v>
      </c>
      <c r="E46" t="s">
        <v>162</v>
      </c>
      <c r="F46" t="s">
        <v>178</v>
      </c>
      <c r="G46" t="b">
        <v>0</v>
      </c>
    </row>
    <row r="47" spans="1:7">
      <c r="A47">
        <f>HYPERLINK("https://learning.oreilly.com/live-events/clean-code/0636920194545/0642572011540", "0642572011540")</f>
        <v>0</v>
      </c>
      <c r="B47" t="s">
        <v>179</v>
      </c>
      <c r="C47" t="s">
        <v>179</v>
      </c>
      <c r="E47" t="s">
        <v>162</v>
      </c>
      <c r="F47" t="s">
        <v>180</v>
      </c>
      <c r="G47" t="b">
        <v>0</v>
      </c>
    </row>
    <row r="48" spans="1:7">
      <c r="A48">
        <f>HYPERLINK("https://learning.oreilly.com/live-events/co-programming-in-python-with-genai/0642572011121/0642572011120", "0642572011120")</f>
        <v>0</v>
      </c>
      <c r="B48" t="s">
        <v>44</v>
      </c>
      <c r="C48" t="s">
        <v>181</v>
      </c>
      <c r="D48" t="s">
        <v>182</v>
      </c>
      <c r="E48" t="s">
        <v>162</v>
      </c>
      <c r="F48" t="s">
        <v>183</v>
      </c>
      <c r="G48" t="b">
        <v>0</v>
      </c>
    </row>
    <row r="49" spans="1:7">
      <c r="A49">
        <f>HYPERLINK("https://learning.oreilly.com/live-events/certified-ethical-hacker-ceh-bootcamp/0636920057916/0642572010941", "0642572010941")</f>
        <v>0</v>
      </c>
      <c r="B49" t="s">
        <v>184</v>
      </c>
      <c r="C49" t="s">
        <v>185</v>
      </c>
      <c r="D49" t="s">
        <v>186</v>
      </c>
      <c r="E49" t="s">
        <v>162</v>
      </c>
      <c r="F49" t="s">
        <v>187</v>
      </c>
      <c r="G49" t="b">
        <v>0</v>
      </c>
    </row>
    <row r="50" spans="1:7">
      <c r="A50">
        <f>HYPERLINK("https://learning.oreilly.com/live-events/story-mapping-for-agile-release-planning/0790145083050/0642572011808", "0642572011808")</f>
        <v>0</v>
      </c>
      <c r="B50" t="s">
        <v>188</v>
      </c>
      <c r="C50" t="s">
        <v>189</v>
      </c>
      <c r="D50" t="s">
        <v>190</v>
      </c>
      <c r="E50" t="s">
        <v>162</v>
      </c>
      <c r="F50" t="s">
        <v>191</v>
      </c>
      <c r="G50" t="b">
        <v>0</v>
      </c>
    </row>
    <row r="51" spans="1:7">
      <c r="A51">
        <f>HYPERLINK("https://learning.oreilly.com/live-events/hands-on-practical-docker/0636920201922/0642572012627", "0642572012627")</f>
        <v>0</v>
      </c>
      <c r="B51" t="s">
        <v>192</v>
      </c>
      <c r="C51" t="s">
        <v>193</v>
      </c>
      <c r="D51" t="s">
        <v>194</v>
      </c>
      <c r="E51" t="s">
        <v>162</v>
      </c>
      <c r="F51" t="s">
        <v>195</v>
      </c>
      <c r="G51" t="b">
        <v>0</v>
      </c>
    </row>
    <row r="52" spans="1:7">
      <c r="A52">
        <f>HYPERLINK("https://learning.oreilly.com/live-events/introduction-to-the-go-programming-language/0636920273189/0642572012643", "0642572012643")</f>
        <v>0</v>
      </c>
      <c r="B52" t="s">
        <v>196</v>
      </c>
      <c r="C52" t="s">
        <v>197</v>
      </c>
      <c r="D52" t="s">
        <v>198</v>
      </c>
      <c r="E52" t="s">
        <v>162</v>
      </c>
      <c r="F52" t="s">
        <v>199</v>
      </c>
      <c r="G52" t="b">
        <v>0</v>
      </c>
    </row>
    <row r="53" spans="1:7">
      <c r="A53">
        <f>HYPERLINK("https://learning.oreilly.com/live-events/using-github-copilot-chat/0636920099721/0642572012251", "0642572012251")</f>
        <v>0</v>
      </c>
      <c r="B53" t="s">
        <v>200</v>
      </c>
      <c r="C53" t="s">
        <v>201</v>
      </c>
      <c r="D53" t="s">
        <v>202</v>
      </c>
      <c r="E53" t="s">
        <v>162</v>
      </c>
      <c r="F53" t="s">
        <v>203</v>
      </c>
      <c r="G53" t="b">
        <v>0</v>
      </c>
    </row>
    <row r="54" spans="1:7">
      <c r="A54">
        <f>HYPERLINK("https://learning.oreilly.com/live-events/git-clinic/0790145080000/0642572011918", "0642572011918")</f>
        <v>0</v>
      </c>
      <c r="B54" t="s">
        <v>104</v>
      </c>
      <c r="C54" t="s">
        <v>204</v>
      </c>
      <c r="D54" t="s">
        <v>205</v>
      </c>
      <c r="E54" t="s">
        <v>162</v>
      </c>
      <c r="F54" t="s">
        <v>206</v>
      </c>
      <c r="G54" t="b">
        <v>0</v>
      </c>
    </row>
    <row r="55" spans="1:7">
      <c r="A55">
        <f>HYPERLINK("https://learning.oreilly.com/live-events/fundamentals-of-event-driven-microservices/0636920410980/0642572012756", "0642572012756")</f>
        <v>0</v>
      </c>
      <c r="B55" t="s">
        <v>207</v>
      </c>
      <c r="C55" t="s">
        <v>208</v>
      </c>
      <c r="D55" t="s">
        <v>209</v>
      </c>
      <c r="E55" t="s">
        <v>210</v>
      </c>
      <c r="F55" t="s">
        <v>211</v>
      </c>
      <c r="G55" t="b">
        <v>0</v>
      </c>
    </row>
    <row r="56" spans="1:7">
      <c r="A56">
        <f>HYPERLINK("https://learning.oreilly.com/live-events/deep-learning-for-beginners-in-3-weeks/0636920079316/0642572011220", "0642572011220")</f>
        <v>0</v>
      </c>
      <c r="B56" t="s">
        <v>212</v>
      </c>
      <c r="C56" t="s">
        <v>213</v>
      </c>
      <c r="D56" t="s">
        <v>214</v>
      </c>
      <c r="E56" t="s">
        <v>210</v>
      </c>
      <c r="F56" t="s">
        <v>215</v>
      </c>
      <c r="G56" t="b">
        <v>0</v>
      </c>
    </row>
    <row r="57" spans="1:7">
      <c r="A57">
        <f>HYPERLINK("https://learning.oreilly.com/live-events/building-enterprise-apps-with-react/0636920064014/0642572011752", "0642572011752")</f>
        <v>0</v>
      </c>
      <c r="B57" t="s">
        <v>216</v>
      </c>
      <c r="C57" t="s">
        <v>217</v>
      </c>
      <c r="D57" t="s">
        <v>218</v>
      </c>
      <c r="E57" t="s">
        <v>210</v>
      </c>
      <c r="F57" t="s">
        <v>144</v>
      </c>
      <c r="G57" t="b">
        <v>0</v>
      </c>
    </row>
    <row r="58" spans="1:7">
      <c r="A58">
        <f>HYPERLINK("https://learning.oreilly.com/live-events/chatgpt-to-improve-your-writing/0636920097362/0642572009079", "0642572009079")</f>
        <v>0</v>
      </c>
      <c r="B58" t="s">
        <v>81</v>
      </c>
      <c r="C58" t="s">
        <v>219</v>
      </c>
      <c r="D58" t="s">
        <v>220</v>
      </c>
      <c r="E58" t="s">
        <v>210</v>
      </c>
      <c r="F58" t="s">
        <v>27</v>
      </c>
      <c r="G58" t="b">
        <v>0</v>
      </c>
    </row>
    <row r="59" spans="1:7">
      <c r="A59">
        <f>HYPERLINK("https://learning.oreilly.com/live-events/generative-ai-apis/0642572011171/0642572011170", "0642572011170")</f>
        <v>0</v>
      </c>
      <c r="B59" t="s">
        <v>221</v>
      </c>
      <c r="C59" t="s">
        <v>222</v>
      </c>
      <c r="D59" t="s">
        <v>223</v>
      </c>
      <c r="E59" t="s">
        <v>210</v>
      </c>
      <c r="F59" t="s">
        <v>224</v>
      </c>
      <c r="G59" t="b">
        <v>0</v>
      </c>
    </row>
    <row r="60" spans="1:7">
      <c r="A60">
        <f>HYPERLINK("https://learning.oreilly.com/live-events/6-rules-for-communicating-with-management/0636920080772/0642572011297", "0642572011297")</f>
        <v>0</v>
      </c>
      <c r="B60" t="s">
        <v>225</v>
      </c>
      <c r="C60" t="s">
        <v>226</v>
      </c>
      <c r="D60" t="s">
        <v>227</v>
      </c>
      <c r="E60" t="s">
        <v>210</v>
      </c>
      <c r="F60" t="s">
        <v>228</v>
      </c>
      <c r="G60" t="b">
        <v>0</v>
      </c>
    </row>
    <row r="61" spans="1:7">
      <c r="A61">
        <f>HYPERLINK("https://learning.oreilly.com/live-events/product-thinking-for-engineers/0642572000318/0642572011126", "0642572011126")</f>
        <v>0</v>
      </c>
      <c r="B61" t="s">
        <v>229</v>
      </c>
      <c r="C61" t="s">
        <v>230</v>
      </c>
      <c r="D61" t="s">
        <v>231</v>
      </c>
      <c r="E61" t="s">
        <v>210</v>
      </c>
      <c r="F61" t="s">
        <v>232</v>
      </c>
      <c r="G61" t="b">
        <v>0</v>
      </c>
    </row>
    <row r="62" spans="1:7">
      <c r="A62">
        <f>HYPERLINK("https://learning.oreilly.com/live-events/tech-leadership-tuesday-with-anjuan-simmons-navigating-the-benefits-and-risks-of-adopting-generative-ai-with-nathen-harvey/0642572013368/0642572013367", "0642572013367")</f>
        <v>0</v>
      </c>
      <c r="B62" t="s">
        <v>233</v>
      </c>
      <c r="C62" t="s">
        <v>234</v>
      </c>
      <c r="D62" t="s">
        <v>235</v>
      </c>
      <c r="E62" t="s">
        <v>210</v>
      </c>
      <c r="F62" t="s">
        <v>236</v>
      </c>
      <c r="G62" t="b">
        <v>0</v>
      </c>
    </row>
    <row r="63" spans="1:7">
      <c r="A63">
        <f>HYPERLINK("https://learning.oreilly.com/live-events/network-troubleshooting-with-generative-ai/0642572011640/0642572011639", "0642572011639")</f>
        <v>0</v>
      </c>
      <c r="B63" t="s">
        <v>237</v>
      </c>
      <c r="C63" t="s">
        <v>238</v>
      </c>
      <c r="D63" t="s">
        <v>239</v>
      </c>
      <c r="E63" t="s">
        <v>210</v>
      </c>
      <c r="F63" t="s">
        <v>240</v>
      </c>
      <c r="G63" t="b">
        <v>0</v>
      </c>
    </row>
    <row r="64" spans="1:7">
      <c r="A64">
        <f>HYPERLINK("https://learning.oreilly.com/live-events/how-llms-work/0790145066962/0642572010485", "0642572010485")</f>
        <v>0</v>
      </c>
      <c r="B64" t="s">
        <v>241</v>
      </c>
      <c r="C64" t="s">
        <v>242</v>
      </c>
      <c r="D64" t="s">
        <v>243</v>
      </c>
      <c r="E64" t="s">
        <v>210</v>
      </c>
      <c r="F64" t="s">
        <v>244</v>
      </c>
      <c r="G64" t="b">
        <v>0</v>
      </c>
    </row>
    <row r="65" spans="1:7">
      <c r="A65">
        <f>HYPERLINK("https://learning.oreilly.com/live-events/exam-az-104-microsoft-azure-administrator-crash-course/0636920094475/0642572011711", "0642572011711")</f>
        <v>0</v>
      </c>
      <c r="B65" t="s">
        <v>245</v>
      </c>
      <c r="C65" t="s">
        <v>246</v>
      </c>
      <c r="E65" t="s">
        <v>210</v>
      </c>
      <c r="F65" t="s">
        <v>247</v>
      </c>
      <c r="G65" t="b">
        <v>0</v>
      </c>
    </row>
    <row r="66" spans="1:7">
      <c r="A66">
        <f>HYPERLINK("https://learning.oreilly.com/live-events/machine-learning-engineer-associate-mla-c01-bootcamp/0642572010717/0642572010716", "0642572010716")</f>
        <v>0</v>
      </c>
      <c r="B66" t="s">
        <v>248</v>
      </c>
      <c r="C66" t="s">
        <v>249</v>
      </c>
      <c r="D66" t="s">
        <v>250</v>
      </c>
      <c r="E66" t="s">
        <v>251</v>
      </c>
      <c r="F66" t="s">
        <v>252</v>
      </c>
      <c r="G66" t="b">
        <v>0</v>
      </c>
    </row>
    <row r="67" spans="1:7">
      <c r="A67">
        <f>HYPERLINK("https://learning.oreilly.com/live-events/mastering-creative-and-critical-thinking/0636920078192/0642572011182", "0642572011182")</f>
        <v>0</v>
      </c>
      <c r="B67" t="s">
        <v>40</v>
      </c>
      <c r="C67" t="s">
        <v>253</v>
      </c>
      <c r="D67" t="s">
        <v>254</v>
      </c>
      <c r="E67" t="s">
        <v>251</v>
      </c>
      <c r="F67" t="s">
        <v>255</v>
      </c>
      <c r="G67" t="b">
        <v>0</v>
      </c>
    </row>
    <row r="68" spans="1:7">
      <c r="A68">
        <f>HYPERLINK("https://learning.oreilly.com/live-events/data-engineering-fundamentals-in-2-weeks/0642572005799/0642572011237", "0642572011237")</f>
        <v>0</v>
      </c>
      <c r="B68" t="s">
        <v>256</v>
      </c>
      <c r="C68" t="s">
        <v>257</v>
      </c>
      <c r="D68" t="s">
        <v>258</v>
      </c>
      <c r="E68" t="s">
        <v>251</v>
      </c>
      <c r="F68" t="s">
        <v>215</v>
      </c>
      <c r="G68" t="b">
        <v>0</v>
      </c>
    </row>
    <row r="69" spans="1:7">
      <c r="A69">
        <f>HYPERLINK("https://learning.oreilly.com/live-events/generative-ai-for-excel/0642572001381/0642572009817", "0642572009817")</f>
        <v>0</v>
      </c>
      <c r="B69" t="s">
        <v>259</v>
      </c>
      <c r="C69" t="s">
        <v>260</v>
      </c>
      <c r="D69" t="s">
        <v>261</v>
      </c>
      <c r="E69" t="s">
        <v>251</v>
      </c>
      <c r="F69" t="s">
        <v>262</v>
      </c>
      <c r="G69" t="b">
        <v>0</v>
      </c>
    </row>
    <row r="70" spans="1:7">
      <c r="A70">
        <f>HYPERLINK("https://learning.oreilly.com/live-events/chatgpt-for-data-analytics/0636920094217/0642572009706", "0642572009706")</f>
        <v>0</v>
      </c>
      <c r="B70" t="s">
        <v>81</v>
      </c>
      <c r="C70" t="s">
        <v>263</v>
      </c>
      <c r="D70" t="s">
        <v>264</v>
      </c>
      <c r="E70" t="s">
        <v>251</v>
      </c>
      <c r="F70" t="s">
        <v>265</v>
      </c>
      <c r="G70" t="b">
        <v>0</v>
      </c>
    </row>
    <row r="71" spans="1:7">
      <c r="A71">
        <f>HYPERLINK("https://learning.oreilly.com/live-events/aws-technical-essentials/0636920192039/0642572011053", "0642572011053")</f>
        <v>0</v>
      </c>
      <c r="B71" t="s">
        <v>266</v>
      </c>
      <c r="C71" t="s">
        <v>267</v>
      </c>
      <c r="D71" t="s">
        <v>268</v>
      </c>
      <c r="E71" t="s">
        <v>251</v>
      </c>
      <c r="F71" t="s">
        <v>269</v>
      </c>
      <c r="G71" t="b">
        <v>0</v>
      </c>
    </row>
    <row r="72" spans="1:7">
      <c r="A72">
        <f>HYPERLINK("https://learning.oreilly.com/live-events/getting-started-with-autogen/0790145047089/0642572010893", "0642572010893")</f>
        <v>0</v>
      </c>
      <c r="B72" t="s">
        <v>241</v>
      </c>
      <c r="C72" t="s">
        <v>270</v>
      </c>
      <c r="D72" t="s">
        <v>271</v>
      </c>
      <c r="E72" t="s">
        <v>251</v>
      </c>
      <c r="F72" t="s">
        <v>84</v>
      </c>
      <c r="G72" t="b">
        <v>0</v>
      </c>
    </row>
    <row r="73" spans="1:7">
      <c r="A73">
        <f>HYPERLINK("https://learning.oreilly.com/live-events/comptia-security-certification-sy0-701-bootcamp/0790145080680/0642572010925", "0642572010925")</f>
        <v>0</v>
      </c>
      <c r="B73" t="s">
        <v>272</v>
      </c>
      <c r="C73" t="s">
        <v>273</v>
      </c>
      <c r="D73" t="s">
        <v>274</v>
      </c>
      <c r="E73" t="s">
        <v>251</v>
      </c>
      <c r="F73" t="s">
        <v>187</v>
      </c>
      <c r="G73" t="b">
        <v>0</v>
      </c>
    </row>
    <row r="74" spans="1:7">
      <c r="A74">
        <f>HYPERLINK("https://learning.oreilly.com/live-events/prompting-copilot-and-chatgpt-for-code/0642572004454/0642572012160", "0642572012160")</f>
        <v>0</v>
      </c>
      <c r="B74" t="s">
        <v>81</v>
      </c>
      <c r="C74" t="s">
        <v>275</v>
      </c>
      <c r="D74" t="s">
        <v>276</v>
      </c>
      <c r="E74" t="s">
        <v>251</v>
      </c>
      <c r="F74" t="s">
        <v>277</v>
      </c>
      <c r="G74" t="b">
        <v>0</v>
      </c>
    </row>
    <row r="75" spans="1:7">
      <c r="A75">
        <f>HYPERLINK("https://learning.oreilly.com/live-events/network-protocols-in-security-operations/0642572011400/0642572011399", "0642572011399")</f>
        <v>0</v>
      </c>
      <c r="B75" t="s">
        <v>278</v>
      </c>
      <c r="C75" t="s">
        <v>279</v>
      </c>
      <c r="D75" t="s">
        <v>280</v>
      </c>
      <c r="E75" t="s">
        <v>251</v>
      </c>
      <c r="F75" t="s">
        <v>281</v>
      </c>
      <c r="G75" t="b">
        <v>0</v>
      </c>
    </row>
    <row r="76" spans="1:7">
      <c r="A76">
        <f>HYPERLINK("https://learning.oreilly.com/live-events/generative-ai-for-leaders-and-managers/0642572010775/0642572010774", "0642572010774")</f>
        <v>0</v>
      </c>
      <c r="B76" t="s">
        <v>237</v>
      </c>
      <c r="C76" t="s">
        <v>282</v>
      </c>
      <c r="D76" t="s">
        <v>283</v>
      </c>
      <c r="E76" t="s">
        <v>251</v>
      </c>
      <c r="F76" t="s">
        <v>284</v>
      </c>
      <c r="G76" t="b">
        <v>0</v>
      </c>
    </row>
    <row r="77" spans="1:7">
      <c r="A77">
        <f>HYPERLINK("https://learning.oreilly.com/live-events/langchain-for-generative-ai-pipelines/0642572002267/0642572011814", "0642572011814")</f>
        <v>0</v>
      </c>
      <c r="B77" t="s">
        <v>285</v>
      </c>
      <c r="C77" t="s">
        <v>286</v>
      </c>
      <c r="D77" t="s">
        <v>287</v>
      </c>
      <c r="E77" t="s">
        <v>251</v>
      </c>
      <c r="F77" t="s">
        <v>288</v>
      </c>
      <c r="G77" t="b">
        <v>0</v>
      </c>
    </row>
    <row r="78" spans="1:7">
      <c r="A78">
        <f>HYPERLINK("https://learning.oreilly.com/live-events/kubernetes-networking-in-4-hours/0642572000164/0642572011488", "0642572011488")</f>
        <v>0</v>
      </c>
      <c r="B78" t="s">
        <v>100</v>
      </c>
      <c r="C78" t="s">
        <v>289</v>
      </c>
      <c r="D78" t="s">
        <v>290</v>
      </c>
      <c r="E78" t="s">
        <v>291</v>
      </c>
      <c r="F78" t="s">
        <v>103</v>
      </c>
      <c r="G78" t="b">
        <v>0</v>
      </c>
    </row>
    <row r="79" spans="1:7">
      <c r="A79">
        <f>HYPERLINK("https://learning.oreilly.com/live-events/aws-certified-security-specialty-scs-c02-crash-course/0636920094076/0642572011725", "0642572011725")</f>
        <v>0</v>
      </c>
      <c r="B79" t="s">
        <v>292</v>
      </c>
      <c r="C79" t="s">
        <v>293</v>
      </c>
      <c r="D79" t="s">
        <v>294</v>
      </c>
      <c r="E79" t="s">
        <v>291</v>
      </c>
      <c r="F79" t="s">
        <v>63</v>
      </c>
      <c r="G79" t="b">
        <v>0</v>
      </c>
    </row>
    <row r="80" spans="1:7">
      <c r="A80">
        <f>HYPERLINK("https://learning.oreilly.com/live-events/microsoft-certified-azure-data-scientist-associate-dp-100-crash-course/0642572009727/0642572009726", "0642572009726")</f>
        <v>0</v>
      </c>
      <c r="B80" t="s">
        <v>295</v>
      </c>
      <c r="C80" t="s">
        <v>296</v>
      </c>
      <c r="D80" t="s">
        <v>297</v>
      </c>
      <c r="E80" t="s">
        <v>291</v>
      </c>
      <c r="F80" t="s">
        <v>298</v>
      </c>
      <c r="G80" t="b">
        <v>0</v>
      </c>
    </row>
    <row r="81" spans="1:7">
      <c r="A81">
        <f>HYPERLINK("https://learning.oreilly.com/live-events/modern-data-engineering-essentials/0642572011373/0642572011372", "0642572011372")</f>
        <v>0</v>
      </c>
      <c r="B81" t="s">
        <v>256</v>
      </c>
      <c r="C81" t="s">
        <v>299</v>
      </c>
      <c r="D81" t="s">
        <v>300</v>
      </c>
      <c r="E81" t="s">
        <v>291</v>
      </c>
      <c r="F81" t="s">
        <v>301</v>
      </c>
      <c r="G81" t="b">
        <v>0</v>
      </c>
    </row>
    <row r="82" spans="1:7">
      <c r="A82">
        <f>HYPERLINK("https://learning.oreilly.com/live-events/data-literacy-bootcamp/0636920083423/0642572012272", "0642572012272")</f>
        <v>0</v>
      </c>
      <c r="B82" t="s">
        <v>256</v>
      </c>
      <c r="C82" t="s">
        <v>302</v>
      </c>
      <c r="D82" t="s">
        <v>303</v>
      </c>
      <c r="E82" t="s">
        <v>291</v>
      </c>
      <c r="F82" t="s">
        <v>304</v>
      </c>
      <c r="G82" t="b">
        <v>0</v>
      </c>
    </row>
    <row r="83" spans="1:7">
      <c r="A83">
        <f>HYPERLINK("https://learning.oreilly.com/live-events/pmp-certification-crash-course/0636920064165/0642572011739", "0642572011739")</f>
        <v>0</v>
      </c>
      <c r="B83" t="s">
        <v>305</v>
      </c>
      <c r="C83" t="s">
        <v>306</v>
      </c>
      <c r="D83" t="s">
        <v>307</v>
      </c>
      <c r="E83" t="s">
        <v>291</v>
      </c>
      <c r="F83" t="s">
        <v>308</v>
      </c>
      <c r="G83" t="b">
        <v>0</v>
      </c>
    </row>
    <row r="84" spans="1:7">
      <c r="A84">
        <f>HYPERLINK("https://learning.oreilly.com/live-events/rhcsa-ex200-exam-prep-crash-course/0642572003391/0642572011946", "0642572011946")</f>
        <v>0</v>
      </c>
      <c r="B84" t="s">
        <v>172</v>
      </c>
      <c r="C84" t="s">
        <v>309</v>
      </c>
      <c r="D84" t="s">
        <v>310</v>
      </c>
      <c r="E84" t="s">
        <v>291</v>
      </c>
      <c r="F84" t="s">
        <v>311</v>
      </c>
      <c r="G84" t="b">
        <v>0</v>
      </c>
    </row>
    <row r="85" spans="1:7">
      <c r="A85">
        <f>HYPERLINK("https://learning.oreilly.com/live-events/hands-on-retrieval-augmented-generation-rag/0790145074140/0642572011563", "0642572011563")</f>
        <v>0</v>
      </c>
      <c r="B85" t="s">
        <v>241</v>
      </c>
      <c r="C85" t="s">
        <v>312</v>
      </c>
      <c r="D85" t="s">
        <v>313</v>
      </c>
      <c r="E85" t="s">
        <v>291</v>
      </c>
      <c r="F85" t="s">
        <v>314</v>
      </c>
      <c r="G85" t="b">
        <v>0</v>
      </c>
    </row>
    <row r="86" spans="1:7">
      <c r="A86">
        <f>HYPERLINK("https://learning.oreilly.com/live-events/chatgpt-and-github-copilot-in-4-hours/0636920090248/0642572011707", "0642572011707")</f>
        <v>0</v>
      </c>
      <c r="B86" t="s">
        <v>81</v>
      </c>
      <c r="C86" t="s">
        <v>315</v>
      </c>
      <c r="D86" t="s">
        <v>316</v>
      </c>
      <c r="E86" t="s">
        <v>291</v>
      </c>
      <c r="F86" t="s">
        <v>247</v>
      </c>
      <c r="G86" t="b">
        <v>0</v>
      </c>
    </row>
    <row r="87" spans="1:7">
      <c r="A87">
        <f>HYPERLINK("https://learning.oreilly.com/live-events/introduction-to-algorithms-and-data-structureswith-interactivity/0636920306542/0642572011914", "0642572011914")</f>
        <v>0</v>
      </c>
      <c r="B87" t="s">
        <v>44</v>
      </c>
      <c r="C87" t="s">
        <v>317</v>
      </c>
      <c r="D87" t="s">
        <v>318</v>
      </c>
      <c r="E87" t="s">
        <v>291</v>
      </c>
      <c r="F87" t="s">
        <v>319</v>
      </c>
      <c r="G87" t="b">
        <v>0</v>
      </c>
    </row>
    <row r="88" spans="1:7">
      <c r="A88">
        <f>HYPERLINK("https://learning.oreilly.com/live-events/genai-and-llms-for-product-managers/0636920099564/0642572009535", "0642572009535")</f>
        <v>0</v>
      </c>
      <c r="B88" t="s">
        <v>320</v>
      </c>
      <c r="C88" t="s">
        <v>321</v>
      </c>
      <c r="D88" t="s">
        <v>322</v>
      </c>
      <c r="E88" t="s">
        <v>291</v>
      </c>
      <c r="F88" t="s">
        <v>323</v>
      </c>
      <c r="G88" t="b">
        <v>0</v>
      </c>
    </row>
    <row r="89" spans="1:7">
      <c r="A89">
        <f>HYPERLINK("https://learning.oreilly.com/live-events/llms-on-microsoft-azure/0790145056568/0642572011902", "0642572011902")</f>
        <v>0</v>
      </c>
      <c r="B89" t="s">
        <v>295</v>
      </c>
      <c r="C89" t="s">
        <v>324</v>
      </c>
      <c r="D89" t="s">
        <v>325</v>
      </c>
      <c r="E89" t="s">
        <v>291</v>
      </c>
      <c r="F89" t="s">
        <v>326</v>
      </c>
      <c r="G89" t="b">
        <v>0</v>
      </c>
    </row>
    <row r="90" spans="1:7">
      <c r="A90">
        <f>HYPERLINK("https://learning.oreilly.com/live-events/github-actions-in-4-hours/0636920078758/0642572011772", "0642572011772")</f>
        <v>0</v>
      </c>
      <c r="B90" t="s">
        <v>327</v>
      </c>
      <c r="C90" t="s">
        <v>328</v>
      </c>
      <c r="D90" t="s">
        <v>329</v>
      </c>
      <c r="E90" t="s">
        <v>330</v>
      </c>
      <c r="F90" t="s">
        <v>331</v>
      </c>
      <c r="G90" t="b">
        <v>0</v>
      </c>
    </row>
    <row r="91" spans="1:7">
      <c r="A91">
        <f>HYPERLINK("https://learning.oreilly.com/live-events/ansible-in-4-hours/0636920123842/0642572011756", "0642572011756")</f>
        <v>0</v>
      </c>
      <c r="B91" t="s">
        <v>28</v>
      </c>
      <c r="C91" t="s">
        <v>332</v>
      </c>
      <c r="D91" t="s">
        <v>333</v>
      </c>
      <c r="E91" t="s">
        <v>330</v>
      </c>
      <c r="F91" t="s">
        <v>31</v>
      </c>
      <c r="G91" t="b">
        <v>0</v>
      </c>
    </row>
    <row r="92" spans="1:7">
      <c r="A92">
        <f>HYPERLINK("https://learning.oreilly.com/live-events/essential-product-management-skills/0636920075808/0642572011799", "0642572011799")</f>
        <v>0</v>
      </c>
      <c r="B92" t="s">
        <v>334</v>
      </c>
      <c r="C92" t="s">
        <v>335</v>
      </c>
      <c r="D92" t="s">
        <v>336</v>
      </c>
      <c r="E92" t="s">
        <v>330</v>
      </c>
      <c r="F92" t="s">
        <v>337</v>
      </c>
      <c r="G92" t="b">
        <v>0</v>
      </c>
    </row>
    <row r="93" spans="1:7">
      <c r="A93">
        <f>HYPERLINK("https://learning.oreilly.com/live-events/software-design-with-unit-tests/0636920092311/0642572011095", "0642572011095")</f>
        <v>0</v>
      </c>
      <c r="B93" t="s">
        <v>338</v>
      </c>
      <c r="C93" t="s">
        <v>339</v>
      </c>
      <c r="D93" t="s">
        <v>340</v>
      </c>
      <c r="E93" t="s">
        <v>341</v>
      </c>
      <c r="F93" t="s">
        <v>342</v>
      </c>
      <c r="G93" t="b">
        <v>0</v>
      </c>
    </row>
    <row r="94" spans="1:7">
      <c r="A94">
        <f>HYPERLINK("https://learning.oreilly.com/live-events/aws-ai-practitioner-certification-aif-c01-crash-course/0642572010715/0642572010714", "0642572010714")</f>
        <v>0</v>
      </c>
      <c r="B94" t="s">
        <v>343</v>
      </c>
      <c r="C94" t="s">
        <v>344</v>
      </c>
      <c r="D94" t="s">
        <v>345</v>
      </c>
      <c r="E94" t="s">
        <v>341</v>
      </c>
      <c r="F94" t="s">
        <v>252</v>
      </c>
      <c r="G94" t="b">
        <v>0</v>
      </c>
    </row>
    <row r="95" spans="1:7">
      <c r="A95">
        <f>HYPERLINK("https://learning.oreilly.com/live-events/architecture-fitness-functions-by-example/0642572007901/0642572007900", "0642572007900")</f>
        <v>0</v>
      </c>
      <c r="B95" t="s">
        <v>346</v>
      </c>
      <c r="C95" t="s">
        <v>347</v>
      </c>
      <c r="D95" t="s">
        <v>348</v>
      </c>
      <c r="E95" t="s">
        <v>341</v>
      </c>
      <c r="F95" t="s">
        <v>349</v>
      </c>
      <c r="G95" t="b">
        <v>0</v>
      </c>
    </row>
    <row r="96" spans="1:7">
      <c r="A96">
        <f>HYPERLINK("https://learning.oreilly.com/live-events/chatgpt-prompt-engineering-cookbook/0636920099586/0642572011173", "0642572011173")</f>
        <v>0</v>
      </c>
      <c r="B96" t="s">
        <v>68</v>
      </c>
      <c r="C96" t="s">
        <v>350</v>
      </c>
      <c r="D96" t="s">
        <v>351</v>
      </c>
      <c r="E96" t="s">
        <v>341</v>
      </c>
      <c r="F96" t="s">
        <v>224</v>
      </c>
      <c r="G96" t="b">
        <v>0</v>
      </c>
    </row>
    <row r="97" spans="1:7">
      <c r="A97">
        <f>HYPERLINK("https://learning.oreilly.com/live-events/cissp-certification-crash-course-2024-edition/0642572000111/0642572010873", "0642572010873")</f>
        <v>0</v>
      </c>
      <c r="B97" t="s">
        <v>352</v>
      </c>
      <c r="C97" t="s">
        <v>353</v>
      </c>
      <c r="D97" t="s">
        <v>354</v>
      </c>
      <c r="E97" t="s">
        <v>341</v>
      </c>
      <c r="F97" t="s">
        <v>355</v>
      </c>
      <c r="G97" t="b">
        <v>0</v>
      </c>
    </row>
    <row r="98" spans="1:7">
      <c r="A98">
        <f>HYPERLINK("https://learning.oreilly.com/live-events/software-architecture-superstream-software-architecture-in-the-age-of-ai/0642572012444/0642572012443", "0642572012443")</f>
        <v>0</v>
      </c>
      <c r="B98" t="s">
        <v>12</v>
      </c>
      <c r="C98" t="s">
        <v>356</v>
      </c>
      <c r="D98" t="s">
        <v>357</v>
      </c>
      <c r="E98" t="s">
        <v>341</v>
      </c>
      <c r="F98" t="s">
        <v>349</v>
      </c>
      <c r="G98" t="b">
        <v>0</v>
      </c>
    </row>
    <row r="99" spans="1:7">
      <c r="A99">
        <f>HYPERLINK("https://learning.oreilly.com/live-events/fundamentals-of-collaboration/0636920094085/0642572012023", "0642572012023")</f>
        <v>0</v>
      </c>
      <c r="B99" t="s">
        <v>358</v>
      </c>
      <c r="C99" t="s">
        <v>359</v>
      </c>
      <c r="D99" t="s">
        <v>360</v>
      </c>
      <c r="E99" t="s">
        <v>341</v>
      </c>
      <c r="F99" t="s">
        <v>50</v>
      </c>
      <c r="G99" t="b">
        <v>0</v>
      </c>
    </row>
    <row r="100" spans="1:7">
      <c r="A100">
        <f>HYPERLINK("https://learning.oreilly.com/live-events/the-power-of-storytelling/0636920091765/0642572011177", "0642572011177")</f>
        <v>0</v>
      </c>
      <c r="B100" t="s">
        <v>361</v>
      </c>
      <c r="C100" t="s">
        <v>362</v>
      </c>
      <c r="D100" t="s">
        <v>363</v>
      </c>
      <c r="E100" t="s">
        <v>341</v>
      </c>
      <c r="F100" t="s">
        <v>364</v>
      </c>
      <c r="G100" t="b">
        <v>0</v>
      </c>
    </row>
    <row r="101" spans="1:7">
      <c r="A101">
        <f>HYPERLINK("https://learning.oreilly.com/live-events/ai-and-llm-cyber-risks-and-mitigation/0790145051051/0642572011898", "0642572011898")</f>
        <v>0</v>
      </c>
      <c r="B101" t="s">
        <v>68</v>
      </c>
      <c r="C101" t="s">
        <v>365</v>
      </c>
      <c r="D101" t="s">
        <v>366</v>
      </c>
      <c r="E101" t="s">
        <v>341</v>
      </c>
      <c r="F101" t="s">
        <v>140</v>
      </c>
      <c r="G101" t="b">
        <v>0</v>
      </c>
    </row>
    <row r="102" spans="1:7">
      <c r="A102">
        <f>HYPERLINK("https://learning.oreilly.com/live-events/generative-ai-for-everyone/0636920097025/0642572009294", "0642572009294")</f>
        <v>0</v>
      </c>
      <c r="B102" t="s">
        <v>367</v>
      </c>
      <c r="C102" t="s">
        <v>368</v>
      </c>
      <c r="D102" t="s">
        <v>369</v>
      </c>
      <c r="E102" t="s">
        <v>370</v>
      </c>
      <c r="F102" t="s">
        <v>371</v>
      </c>
      <c r="G102" t="b">
        <v>0</v>
      </c>
    </row>
    <row r="103" spans="1:7">
      <c r="A103">
        <f>HYPERLINK("https://learning.oreilly.com/live-events/linux-troubleshooting-advanced-linux-techniques/0636920163169/0642572013172", "0642572013172")</f>
        <v>0</v>
      </c>
      <c r="B103" t="s">
        <v>78</v>
      </c>
      <c r="C103" t="s">
        <v>372</v>
      </c>
      <c r="D103" t="s">
        <v>373</v>
      </c>
      <c r="E103" t="s">
        <v>370</v>
      </c>
      <c r="F103" t="s">
        <v>31</v>
      </c>
      <c r="G103" t="b">
        <v>0</v>
      </c>
    </row>
    <row r="104" spans="1:7">
      <c r="A104">
        <f>HYPERLINK("https://learning.oreilly.com/live-events/software-architecture-trade-off-analysis/0642572007899/0642572013683", "0642572013683")</f>
        <v>0</v>
      </c>
      <c r="B104" t="s">
        <v>12</v>
      </c>
      <c r="C104" t="s">
        <v>374</v>
      </c>
      <c r="D104" t="s">
        <v>375</v>
      </c>
      <c r="E104" t="s">
        <v>370</v>
      </c>
      <c r="F104" t="s">
        <v>349</v>
      </c>
      <c r="G104" t="b">
        <v>0</v>
      </c>
    </row>
    <row r="105" spans="1:7">
      <c r="A105">
        <f>HYPERLINK("https://learning.oreilly.com/live-events/machine-learning-with-python/0636920081059/0642572013346", "0642572013346")</f>
        <v>0</v>
      </c>
      <c r="B105" t="s">
        <v>248</v>
      </c>
      <c r="C105" t="s">
        <v>376</v>
      </c>
      <c r="D105" t="s">
        <v>377</v>
      </c>
      <c r="E105" t="s">
        <v>370</v>
      </c>
      <c r="F105" t="s">
        <v>378</v>
      </c>
      <c r="G105" t="b">
        <v>0</v>
      </c>
    </row>
    <row r="106" spans="1:7">
      <c r="A106">
        <f>HYPERLINK("https://learning.oreilly.com/live-events/github-copilot-certification-course/0642572013405/0642572013404", "0642572013404")</f>
        <v>0</v>
      </c>
      <c r="B106" t="s">
        <v>200</v>
      </c>
      <c r="C106" t="s">
        <v>379</v>
      </c>
      <c r="D106" t="s">
        <v>380</v>
      </c>
      <c r="E106" t="s">
        <v>370</v>
      </c>
      <c r="F106" t="s">
        <v>247</v>
      </c>
      <c r="G106" t="b">
        <v>0</v>
      </c>
    </row>
    <row r="107" spans="1:7">
      <c r="A107">
        <f>HYPERLINK("https://learning.oreilly.com/live-events/zero-trust-crash-course/0642572002303/0642572013032", "0642572013032")</f>
        <v>0</v>
      </c>
      <c r="B107" t="s">
        <v>381</v>
      </c>
      <c r="C107" t="s">
        <v>382</v>
      </c>
      <c r="D107" t="s">
        <v>383</v>
      </c>
      <c r="E107" t="s">
        <v>370</v>
      </c>
      <c r="F107" t="s">
        <v>131</v>
      </c>
      <c r="G107" t="b">
        <v>0</v>
      </c>
    </row>
    <row r="108" spans="1:7">
      <c r="A108">
        <f>HYPERLINK("https://learning.oreilly.com/live-events/introduction-to-machine-learning-in-cybersecurity/0636920387480/0642572013664", "0642572013664")</f>
        <v>0</v>
      </c>
      <c r="B108" t="s">
        <v>248</v>
      </c>
      <c r="C108" t="s">
        <v>384</v>
      </c>
      <c r="E108" t="s">
        <v>370</v>
      </c>
      <c r="F108" t="s">
        <v>385</v>
      </c>
      <c r="G108" t="b">
        <v>0</v>
      </c>
    </row>
    <row r="109" spans="1:7">
      <c r="A109">
        <f>HYPERLINK("https://learning.oreilly.com/live-events/choosing-the-right-llm/0642572002832/0642572010493", "0642572010493")</f>
        <v>0</v>
      </c>
      <c r="B109" t="s">
        <v>386</v>
      </c>
      <c r="C109" t="s">
        <v>387</v>
      </c>
      <c r="D109" t="s">
        <v>388</v>
      </c>
      <c r="E109" t="s">
        <v>370</v>
      </c>
      <c r="F109" t="s">
        <v>389</v>
      </c>
      <c r="G109" t="b">
        <v>0</v>
      </c>
    </row>
    <row r="110" spans="1:7">
      <c r="A110">
        <f>HYPERLINK("https://learning.oreilly.com/live-events/system-design-by-example/0636920087015/0642572012403", "0642572012403")</f>
        <v>0</v>
      </c>
      <c r="B110" t="s">
        <v>12</v>
      </c>
      <c r="C110" t="s">
        <v>390</v>
      </c>
      <c r="D110" t="s">
        <v>391</v>
      </c>
      <c r="E110" t="s">
        <v>392</v>
      </c>
      <c r="F110" t="s">
        <v>16</v>
      </c>
      <c r="G110" t="b">
        <v>0</v>
      </c>
    </row>
    <row r="111" spans="1:7">
      <c r="A111">
        <f>HYPERLINK("https://learning.oreilly.com/live-events/generative-ai-for-aws-operations/0642572007694/0642572013120", "0642572013120")</f>
        <v>0</v>
      </c>
      <c r="B111" t="s">
        <v>81</v>
      </c>
      <c r="C111" t="s">
        <v>393</v>
      </c>
      <c r="D111" t="s">
        <v>394</v>
      </c>
      <c r="E111" t="s">
        <v>392</v>
      </c>
      <c r="F111" t="s">
        <v>63</v>
      </c>
      <c r="G111" t="b">
        <v>0</v>
      </c>
    </row>
    <row r="112" spans="1:7">
      <c r="A112">
        <f>HYPERLINK("https://learning.oreilly.com/live-events/databricks-machine-learning-associate-certification-prep/0790145084111/0642572012557", "0642572012557")</f>
        <v>0</v>
      </c>
      <c r="B112" t="s">
        <v>248</v>
      </c>
      <c r="C112" t="s">
        <v>395</v>
      </c>
      <c r="D112" t="s">
        <v>396</v>
      </c>
      <c r="E112" t="s">
        <v>392</v>
      </c>
      <c r="F112" t="s">
        <v>252</v>
      </c>
      <c r="G112" t="b">
        <v>0</v>
      </c>
    </row>
    <row r="113" spans="1:7">
      <c r="A113">
        <f>HYPERLINK("https://learning.oreilly.com/live-events/using-prometheus-to-monitor-linux-and-kubernetes/0790145083085/0642572013140", "0642572013140")</f>
        <v>0</v>
      </c>
      <c r="B113" t="s">
        <v>397</v>
      </c>
      <c r="C113" t="s">
        <v>398</v>
      </c>
      <c r="D113" t="s">
        <v>399</v>
      </c>
      <c r="E113" t="s">
        <v>392</v>
      </c>
      <c r="F113" t="s">
        <v>400</v>
      </c>
      <c r="G113" t="b">
        <v>0</v>
      </c>
    </row>
    <row r="114" spans="1:7">
      <c r="A114">
        <f>HYPERLINK("https://learning.oreilly.com/live-events/getting-started-with-power-bi/0642572000084/0642572010937", "0642572010937")</f>
        <v>0</v>
      </c>
      <c r="B114" t="s">
        <v>21</v>
      </c>
      <c r="C114" t="s">
        <v>401</v>
      </c>
      <c r="D114" t="s">
        <v>402</v>
      </c>
      <c r="E114" t="s">
        <v>392</v>
      </c>
      <c r="F114" t="s">
        <v>23</v>
      </c>
      <c r="G114" t="b">
        <v>0</v>
      </c>
    </row>
    <row r="115" spans="1:7">
      <c r="A115">
        <f>HYPERLINK("https://learning.oreilly.com/live-events/java-se-21-developer-1z0-830-crash-course/0642572012879/0642572012877", "0642572012877")</f>
        <v>0</v>
      </c>
      <c r="B115" t="s">
        <v>403</v>
      </c>
      <c r="C115" t="s">
        <v>404</v>
      </c>
      <c r="D115" t="s">
        <v>405</v>
      </c>
      <c r="E115" t="s">
        <v>392</v>
      </c>
      <c r="F115" t="s">
        <v>406</v>
      </c>
      <c r="G115" t="b">
        <v>0</v>
      </c>
    </row>
    <row r="116" spans="1:7">
      <c r="A116">
        <f>HYPERLINK("https://learning.oreilly.com/live-events/being-proactive/0636920086557/0642572012779", "0642572012779")</f>
        <v>0</v>
      </c>
      <c r="B116" t="s">
        <v>407</v>
      </c>
      <c r="C116" t="s">
        <v>408</v>
      </c>
      <c r="D116" t="s">
        <v>409</v>
      </c>
      <c r="E116" t="s">
        <v>392</v>
      </c>
      <c r="F116" t="s">
        <v>255</v>
      </c>
      <c r="G116" t="b">
        <v>0</v>
      </c>
    </row>
    <row r="117" spans="1:7">
      <c r="A117">
        <f>HYPERLINK("https://learning.oreilly.com/live-events/clean-agile/0636920337829/0642572013040", "0642572013040")</f>
        <v>0</v>
      </c>
      <c r="B117" t="s">
        <v>410</v>
      </c>
      <c r="C117" t="s">
        <v>411</v>
      </c>
      <c r="E117" t="s">
        <v>392</v>
      </c>
      <c r="F117" t="s">
        <v>180</v>
      </c>
      <c r="G117" t="b">
        <v>0</v>
      </c>
    </row>
    <row r="118" spans="1:7">
      <c r="A118">
        <f>HYPERLINK("https://learning.oreilly.com/live-events/python-in-5-weeks-python-programming-for-beginnerswith-interactivity/0636920054111/0642572011264", "0642572011264")</f>
        <v>0</v>
      </c>
      <c r="B118" t="s">
        <v>44</v>
      </c>
      <c r="C118" t="s">
        <v>412</v>
      </c>
      <c r="D118" t="s">
        <v>413</v>
      </c>
      <c r="E118" t="s">
        <v>392</v>
      </c>
      <c r="F118" t="s">
        <v>183</v>
      </c>
      <c r="G118" t="b">
        <v>0</v>
      </c>
    </row>
    <row r="119" spans="1:7">
      <c r="A119">
        <f>HYPERLINK("https://learning.oreilly.com/live-events/certified-cloud-security-professional-ccsp-the-hard-parts/0636920093153/0642572010955", "0642572010955")</f>
        <v>0</v>
      </c>
      <c r="B119" t="s">
        <v>414</v>
      </c>
      <c r="C119" t="s">
        <v>415</v>
      </c>
      <c r="D119" t="s">
        <v>416</v>
      </c>
      <c r="E119" t="s">
        <v>392</v>
      </c>
      <c r="F119" t="s">
        <v>187</v>
      </c>
      <c r="G119" t="b">
        <v>0</v>
      </c>
    </row>
    <row r="120" spans="1:7">
      <c r="A120">
        <f>HYPERLINK("https://learning.oreilly.com/live-events/getting-started-with-amazon-q/0642572006122/0642572013505", "0642572013505")</f>
        <v>0</v>
      </c>
      <c r="B120" t="s">
        <v>417</v>
      </c>
      <c r="C120" t="s">
        <v>418</v>
      </c>
      <c r="D120" t="s">
        <v>419</v>
      </c>
      <c r="E120" t="s">
        <v>392</v>
      </c>
      <c r="F120" t="s">
        <v>326</v>
      </c>
      <c r="G120" t="b">
        <v>0</v>
      </c>
    </row>
    <row r="121" spans="1:7">
      <c r="A121">
        <f>HYPERLINK("https://learning.oreilly.com/live-events/making-new-java-features-work-for-you/0636920078589/0642572013497", "0642572013497")</f>
        <v>0</v>
      </c>
      <c r="B121" t="s">
        <v>403</v>
      </c>
      <c r="C121" t="s">
        <v>420</v>
      </c>
      <c r="D121" t="s">
        <v>421</v>
      </c>
      <c r="E121" t="s">
        <v>392</v>
      </c>
      <c r="F121" t="s">
        <v>163</v>
      </c>
      <c r="G121" t="b">
        <v>0</v>
      </c>
    </row>
    <row r="122" spans="1:7">
      <c r="A122">
        <f>HYPERLINK("https://learning.oreilly.com/live-events/getting-started-with-langgraph/0642572005882/0642572013488", "0642572013488")</f>
        <v>0</v>
      </c>
      <c r="B122" t="s">
        <v>422</v>
      </c>
      <c r="C122" t="s">
        <v>423</v>
      </c>
      <c r="D122" t="s">
        <v>424</v>
      </c>
      <c r="E122" t="s">
        <v>392</v>
      </c>
      <c r="F122" t="s">
        <v>84</v>
      </c>
      <c r="G122" t="b">
        <v>0</v>
      </c>
    </row>
    <row r="123" spans="1:7">
      <c r="A123">
        <f>HYPERLINK("https://learning.oreilly.com/live-events/product-design-with-genai/0642572003764/0642572009686", "0642572009686")</f>
        <v>0</v>
      </c>
      <c r="B123" t="s">
        <v>229</v>
      </c>
      <c r="C123" t="s">
        <v>425</v>
      </c>
      <c r="D123" t="s">
        <v>426</v>
      </c>
      <c r="E123" t="s">
        <v>427</v>
      </c>
      <c r="F123" t="s">
        <v>428</v>
      </c>
      <c r="G123" t="b">
        <v>0</v>
      </c>
    </row>
    <row r="124" spans="1:7">
      <c r="A124">
        <f>HYPERLINK("https://learning.oreilly.com/live-events/algorithms-for-the-coding-interview/0636920093604/0642572012995", "0642572012995")</f>
        <v>0</v>
      </c>
      <c r="B124" t="s">
        <v>51</v>
      </c>
      <c r="C124" t="s">
        <v>429</v>
      </c>
      <c r="D124" t="s">
        <v>430</v>
      </c>
      <c r="E124" t="s">
        <v>427</v>
      </c>
      <c r="F124" t="s">
        <v>431</v>
      </c>
      <c r="G124" t="b">
        <v>0</v>
      </c>
    </row>
    <row r="125" spans="1:7">
      <c r="A125">
        <f>HYPERLINK("https://learning.oreilly.com/live-events/chatgpt-to-improve-your-writing/0636920097362/0642572009083", "0642572009083")</f>
        <v>0</v>
      </c>
      <c r="B125" t="s">
        <v>81</v>
      </c>
      <c r="C125" t="s">
        <v>219</v>
      </c>
      <c r="D125" t="s">
        <v>220</v>
      </c>
      <c r="E125" t="s">
        <v>427</v>
      </c>
      <c r="F125" t="s">
        <v>27</v>
      </c>
      <c r="G125" t="b">
        <v>0</v>
      </c>
    </row>
    <row r="126" spans="1:7">
      <c r="A126">
        <f>HYPERLINK("https://learning.oreilly.com/live-events/modern-c-full-throttle-with-paul-deitel-intro-to-c20-the-standard-library/0790145076976/0642572011981", "0642572011981")</f>
        <v>0</v>
      </c>
      <c r="B126" t="s">
        <v>36</v>
      </c>
      <c r="C126" t="s">
        <v>432</v>
      </c>
      <c r="D126" t="s">
        <v>433</v>
      </c>
      <c r="E126" t="s">
        <v>427</v>
      </c>
      <c r="F126" t="s">
        <v>77</v>
      </c>
      <c r="G126" t="b">
        <v>0</v>
      </c>
    </row>
    <row r="127" spans="1:7">
      <c r="A127">
        <f>HYPERLINK("https://learning.oreilly.com/live-events/github-copilot-for-software-engineers/0642572005219/0642572012939", "0642572012939")</f>
        <v>0</v>
      </c>
      <c r="B127" t="s">
        <v>200</v>
      </c>
      <c r="C127" t="s">
        <v>434</v>
      </c>
      <c r="D127" t="s">
        <v>435</v>
      </c>
      <c r="E127" t="s">
        <v>427</v>
      </c>
      <c r="F127" t="s">
        <v>75</v>
      </c>
      <c r="G127" t="b">
        <v>0</v>
      </c>
    </row>
    <row r="128" spans="1:7">
      <c r="A128">
        <f>HYPERLINK("https://learning.oreilly.com/live-events/software-development-superstream-generative-ai-for-code-modernization/0642572012532/0642572012531", "0642572012531")</f>
        <v>0</v>
      </c>
      <c r="B128" t="s">
        <v>436</v>
      </c>
      <c r="C128" t="s">
        <v>437</v>
      </c>
      <c r="E128" t="s">
        <v>427</v>
      </c>
      <c r="F128" t="s">
        <v>20</v>
      </c>
      <c r="G128" t="b">
        <v>0</v>
      </c>
    </row>
    <row r="129" spans="1:7">
      <c r="A129">
        <f>HYPERLINK("https://learning.oreilly.com/live-events/new-manager-bootcamp/0790145045191/0642572012769", "0642572012769")</f>
        <v>0</v>
      </c>
      <c r="B129" t="s">
        <v>124</v>
      </c>
      <c r="C129" t="s">
        <v>438</v>
      </c>
      <c r="D129" t="s">
        <v>439</v>
      </c>
      <c r="E129" t="s">
        <v>427</v>
      </c>
      <c r="F129" t="s">
        <v>440</v>
      </c>
      <c r="G129" t="b">
        <v>0</v>
      </c>
    </row>
    <row r="130" spans="1:7">
      <c r="A130">
        <f>HYPERLINK("https://learning.oreilly.com/live-events/effective-enterprise-application-integration-eai/0642572010790/0642572010789", "0642572010789")</f>
        <v>0</v>
      </c>
      <c r="B130" t="s">
        <v>441</v>
      </c>
      <c r="C130" t="s">
        <v>442</v>
      </c>
      <c r="D130" t="s">
        <v>443</v>
      </c>
      <c r="E130" t="s">
        <v>427</v>
      </c>
      <c r="F130" t="s">
        <v>444</v>
      </c>
      <c r="G130" t="b">
        <v>0</v>
      </c>
    </row>
    <row r="131" spans="1:7">
      <c r="A131">
        <f>HYPERLINK("https://learning.oreilly.com/live-events/security-architecture-for-beginners/0790145086084/0642572010959", "0642572010959")</f>
        <v>0</v>
      </c>
      <c r="B131" t="s">
        <v>445</v>
      </c>
      <c r="C131" t="s">
        <v>446</v>
      </c>
      <c r="D131" t="s">
        <v>447</v>
      </c>
      <c r="E131" t="s">
        <v>427</v>
      </c>
      <c r="F131" t="s">
        <v>187</v>
      </c>
      <c r="G131" t="b">
        <v>0</v>
      </c>
    </row>
    <row r="132" spans="1:7">
      <c r="A132">
        <f>HYPERLINK("https://learning.oreilly.com/live-events/up-and-running-with-power-query-power-pivot-and-dax-in-90-minutes/0642572011679/0642572011678", "0642572011678")</f>
        <v>0</v>
      </c>
      <c r="B132" t="s">
        <v>448</v>
      </c>
      <c r="C132" t="s">
        <v>449</v>
      </c>
      <c r="D132" t="s">
        <v>450</v>
      </c>
      <c r="E132" t="s">
        <v>427</v>
      </c>
      <c r="F132" t="s">
        <v>451</v>
      </c>
      <c r="G132" t="b">
        <v>0</v>
      </c>
    </row>
    <row r="133" spans="1:7">
      <c r="A133">
        <f>HYPERLINK("https://learning.oreilly.com/live-events/introduction-to-ui-ux-design/0636920248682/0642572013273", "0642572013273")</f>
        <v>0</v>
      </c>
      <c r="B133" t="s">
        <v>452</v>
      </c>
      <c r="C133" t="s">
        <v>453</v>
      </c>
      <c r="D133" t="s">
        <v>454</v>
      </c>
      <c r="E133" t="s">
        <v>427</v>
      </c>
      <c r="F133" t="s">
        <v>455</v>
      </c>
      <c r="G133" t="b">
        <v>0</v>
      </c>
    </row>
    <row r="134" spans="1:7">
      <c r="A134">
        <f>HYPERLINK("https://learning.oreilly.com/live-events/leading-with-impact/0636920094346/0642572013668", "0642572013668")</f>
        <v>0</v>
      </c>
      <c r="B134" t="s">
        <v>456</v>
      </c>
      <c r="C134" t="s">
        <v>457</v>
      </c>
      <c r="D134" t="s">
        <v>458</v>
      </c>
      <c r="E134" t="s">
        <v>459</v>
      </c>
      <c r="F134" t="s">
        <v>460</v>
      </c>
      <c r="G134" t="b">
        <v>0</v>
      </c>
    </row>
    <row r="135" spans="1:7">
      <c r="A135">
        <f>HYPERLINK("https://learning.oreilly.com/live-events/microservice-communication-styles-and-patterns/0790145061561/0642572009638", "0642572009638")</f>
        <v>0</v>
      </c>
      <c r="B135" t="s">
        <v>17</v>
      </c>
      <c r="C135" t="s">
        <v>461</v>
      </c>
      <c r="D135" t="s">
        <v>462</v>
      </c>
      <c r="E135" t="s">
        <v>459</v>
      </c>
      <c r="F135" t="s">
        <v>20</v>
      </c>
      <c r="G135" t="b">
        <v>0</v>
      </c>
    </row>
    <row r="136" spans="1:7">
      <c r="A136">
        <f>HYPERLINK("https://learning.oreilly.com/live-events/copilot-for-microsoft-365/0642572007490/0642572009987", "0642572009987")</f>
        <v>0</v>
      </c>
      <c r="B136" t="s">
        <v>463</v>
      </c>
      <c r="C136" t="s">
        <v>464</v>
      </c>
      <c r="D136" t="s">
        <v>465</v>
      </c>
      <c r="E136" t="s">
        <v>459</v>
      </c>
      <c r="F136" t="s">
        <v>466</v>
      </c>
      <c r="G136" t="b">
        <v>0</v>
      </c>
    </row>
    <row r="137" spans="1:7">
      <c r="A137">
        <f>HYPERLINK("https://learning.oreilly.com/live-events/mastering-technical-presentations-by-example/0636920054747/0642572013688", "0642572013688")</f>
        <v>0</v>
      </c>
      <c r="B137" t="s">
        <v>112</v>
      </c>
      <c r="C137" t="s">
        <v>467</v>
      </c>
      <c r="D137" t="s">
        <v>468</v>
      </c>
      <c r="E137" t="s">
        <v>459</v>
      </c>
      <c r="F137" t="s">
        <v>349</v>
      </c>
      <c r="G137" t="b">
        <v>0</v>
      </c>
    </row>
    <row r="138" spans="1:7">
      <c r="A138">
        <f>HYPERLINK("https://learning.oreilly.com/live-events/generative-ai-for-python-developers/0642572003147/0642572012787", "0642572012787")</f>
        <v>0</v>
      </c>
      <c r="B138" t="s">
        <v>44</v>
      </c>
      <c r="C138" t="s">
        <v>469</v>
      </c>
      <c r="D138" t="s">
        <v>470</v>
      </c>
      <c r="E138" t="s">
        <v>459</v>
      </c>
      <c r="F138" t="s">
        <v>224</v>
      </c>
      <c r="G138" t="b">
        <v>0</v>
      </c>
    </row>
    <row r="139" spans="1:7">
      <c r="A139">
        <f>HYPERLINK("https://learning.oreilly.com/live-events/job-search-strategies-how-to-identify-and-land-your-next-job/0636920375982/0642572011315", "0642572011315")</f>
        <v>0</v>
      </c>
      <c r="B139" t="s">
        <v>471</v>
      </c>
      <c r="C139" t="s">
        <v>472</v>
      </c>
      <c r="D139" t="s">
        <v>473</v>
      </c>
      <c r="E139" t="s">
        <v>459</v>
      </c>
      <c r="F139" t="s">
        <v>228</v>
      </c>
      <c r="G139" t="b">
        <v>0</v>
      </c>
    </row>
    <row r="140" spans="1:7">
      <c r="A140">
        <f>HYPERLINK("https://learning.oreilly.com/live-events/product-delivery-beyond-features/0642572007516/0642572013392", "0642572013392")</f>
        <v>0</v>
      </c>
      <c r="B140" t="s">
        <v>334</v>
      </c>
      <c r="C140" t="s">
        <v>474</v>
      </c>
      <c r="D140" t="s">
        <v>475</v>
      </c>
      <c r="E140" t="s">
        <v>459</v>
      </c>
      <c r="F140" t="s">
        <v>476</v>
      </c>
      <c r="G140" t="b">
        <v>0</v>
      </c>
    </row>
    <row r="141" spans="1:7">
      <c r="A141">
        <f>HYPERLINK("https://learning.oreilly.com/live-events/reactive-spring-and-spring-boot/0636920161608/0642572013493", "0642572013493")</f>
        <v>0</v>
      </c>
      <c r="B141" t="s">
        <v>477</v>
      </c>
      <c r="C141" t="s">
        <v>478</v>
      </c>
      <c r="D141" t="s">
        <v>479</v>
      </c>
      <c r="E141" t="s">
        <v>459</v>
      </c>
      <c r="F141" t="s">
        <v>163</v>
      </c>
      <c r="G141" t="b">
        <v>0</v>
      </c>
    </row>
    <row r="142" spans="1:7">
      <c r="A142">
        <f>HYPERLINK("https://learning.oreilly.com/live-events/hands-on-aws-security/0642572003770/0642572010963", "0642572010963")</f>
        <v>0</v>
      </c>
      <c r="B142" t="s">
        <v>480</v>
      </c>
      <c r="C142" t="s">
        <v>481</v>
      </c>
      <c r="D142" t="s">
        <v>482</v>
      </c>
      <c r="E142" t="s">
        <v>459</v>
      </c>
      <c r="F142" t="s">
        <v>187</v>
      </c>
      <c r="G142" t="b">
        <v>0</v>
      </c>
    </row>
    <row r="143" spans="1:7">
      <c r="A143">
        <f>HYPERLINK("https://learning.oreilly.com/live-events/fundamentals-of-devops/0642572003760/0642572013483", "0642572013483")</f>
        <v>0</v>
      </c>
      <c r="B143" t="s">
        <v>483</v>
      </c>
      <c r="C143" t="s">
        <v>484</v>
      </c>
      <c r="D143" t="s">
        <v>485</v>
      </c>
      <c r="E143" t="s">
        <v>459</v>
      </c>
      <c r="F143" t="s">
        <v>486</v>
      </c>
      <c r="G143" t="b">
        <v>0</v>
      </c>
    </row>
    <row r="144" spans="1:7">
      <c r="A144">
        <f>HYPERLINK("https://learning.oreilly.com/live-events/generative-artificial-intelligence-with-the-openai-api-for-developers/0636920095687/0642572013180", "0642572013180")</f>
        <v>0</v>
      </c>
      <c r="B144" t="s">
        <v>91</v>
      </c>
      <c r="C144" t="s">
        <v>487</v>
      </c>
      <c r="D144" t="s">
        <v>488</v>
      </c>
      <c r="E144" t="s">
        <v>459</v>
      </c>
      <c r="F144" t="s">
        <v>288</v>
      </c>
      <c r="G144" t="b">
        <v>0</v>
      </c>
    </row>
    <row r="145" spans="1:7">
      <c r="A145">
        <f>HYPERLINK("https://learning.oreilly.com/live-events/generative-ai-for-presentations/0642572010259/0642572010276", "0642572010276")</f>
        <v>0</v>
      </c>
      <c r="B145" t="s">
        <v>112</v>
      </c>
      <c r="C145" t="s">
        <v>489</v>
      </c>
      <c r="D145" t="s">
        <v>490</v>
      </c>
      <c r="E145" t="s">
        <v>491</v>
      </c>
      <c r="F145" t="s">
        <v>115</v>
      </c>
      <c r="G145" t="b">
        <v>0</v>
      </c>
    </row>
    <row r="146" spans="1:7">
      <c r="A146">
        <f>HYPERLINK("https://learning.oreilly.com/live-events/microservice-security/0636920070932/0642572009646", "0642572009646")</f>
        <v>0</v>
      </c>
      <c r="B146" t="s">
        <v>17</v>
      </c>
      <c r="C146" t="s">
        <v>492</v>
      </c>
      <c r="D146" t="s">
        <v>493</v>
      </c>
      <c r="E146" t="s">
        <v>494</v>
      </c>
      <c r="F146" t="s">
        <v>20</v>
      </c>
      <c r="G146" t="b">
        <v>0</v>
      </c>
    </row>
    <row r="147" spans="1:7">
      <c r="A147">
        <f>HYPERLINK("https://learning.oreilly.com/live-events/chatgpt-for-project-management/0790145085649/0642572009104", "0642572009104")</f>
        <v>0</v>
      </c>
      <c r="B147" t="s">
        <v>32</v>
      </c>
      <c r="C147" t="s">
        <v>495</v>
      </c>
      <c r="D147" t="s">
        <v>496</v>
      </c>
      <c r="E147" t="s">
        <v>497</v>
      </c>
      <c r="F147" t="s">
        <v>27</v>
      </c>
      <c r="G147" t="b">
        <v>0</v>
      </c>
    </row>
    <row r="148" spans="1:7">
      <c r="A148">
        <f>HYPERLINK("https://learning.oreilly.com/live-events/generative-ai-for-business-analysts-in-60-minutes/0642572002743/0642572009732", "0642572009732")</f>
        <v>0</v>
      </c>
      <c r="B148" t="s">
        <v>91</v>
      </c>
      <c r="C148" t="s">
        <v>498</v>
      </c>
      <c r="D148" t="s">
        <v>499</v>
      </c>
      <c r="E148" t="s">
        <v>500</v>
      </c>
      <c r="F148" t="s">
        <v>501</v>
      </c>
      <c r="G148" t="b">
        <v>0</v>
      </c>
    </row>
    <row r="149" spans="1:7">
      <c r="A149">
        <f>HYPERLINK("https://learning.oreilly.com/live-events/generative-ai-for-finance-in-60-minutes/0636920097023/0642572009528", "0642572009528")</f>
        <v>0</v>
      </c>
      <c r="B149" t="s">
        <v>91</v>
      </c>
      <c r="C149" t="s">
        <v>92</v>
      </c>
      <c r="D149" t="s">
        <v>93</v>
      </c>
      <c r="E149" t="s">
        <v>502</v>
      </c>
      <c r="F149" t="s">
        <v>94</v>
      </c>
      <c r="G149" t="b">
        <v>0</v>
      </c>
    </row>
    <row r="150" spans="1:7">
      <c r="A150">
        <f>HYPERLINK("https://learning.oreilly.com/live-events/using-generative-ai-to-boost-your-personal-productivity/0636920099736/0642572009048", "0642572009048")</f>
        <v>0</v>
      </c>
      <c r="B150" t="s">
        <v>24</v>
      </c>
      <c r="C150" t="s">
        <v>25</v>
      </c>
      <c r="D150" t="s">
        <v>26</v>
      </c>
      <c r="E150" t="s">
        <v>503</v>
      </c>
      <c r="F150" t="s">
        <v>27</v>
      </c>
      <c r="G150" t="b">
        <v>0</v>
      </c>
    </row>
    <row r="151" spans="1:7">
      <c r="A151">
        <f>HYPERLINK("https://learning.oreilly.com/live-events/ai-superstream-retrieval-augmented-generation-rag-in-production/0642572012684/0642572012683", "0642572012683")</f>
        <v>0</v>
      </c>
      <c r="B151" t="s">
        <v>81</v>
      </c>
      <c r="C151" t="s">
        <v>504</v>
      </c>
      <c r="D151" t="s">
        <v>505</v>
      </c>
      <c r="E151" t="s">
        <v>503</v>
      </c>
      <c r="F151" t="s">
        <v>506</v>
      </c>
      <c r="G151" t="b">
        <v>0</v>
      </c>
    </row>
    <row r="152" spans="1:7">
      <c r="A152">
        <f>HYPERLINK("https://learning.oreilly.com/live-events/generative-ai-for-scrum-teams/0790145067209/0642572009752", "0642572009752")</f>
        <v>0</v>
      </c>
      <c r="B152" t="s">
        <v>108</v>
      </c>
      <c r="C152" t="s">
        <v>109</v>
      </c>
      <c r="D152" t="s">
        <v>110</v>
      </c>
      <c r="E152" t="s">
        <v>503</v>
      </c>
      <c r="F152" t="s">
        <v>111</v>
      </c>
      <c r="G152" t="b">
        <v>0</v>
      </c>
    </row>
    <row r="153" spans="1:7">
      <c r="A153">
        <f>HYPERLINK("https://learning.oreilly.com/live-events/chatgpt-for-data-analytics/0636920094217/0642572009712", "0642572009712")</f>
        <v>0</v>
      </c>
      <c r="B153" t="s">
        <v>81</v>
      </c>
      <c r="C153" t="s">
        <v>263</v>
      </c>
      <c r="D153" t="s">
        <v>264</v>
      </c>
      <c r="E153" t="s">
        <v>507</v>
      </c>
      <c r="F153" t="s">
        <v>265</v>
      </c>
      <c r="G153" t="b">
        <v>0</v>
      </c>
    </row>
    <row r="154" spans="1:7">
      <c r="A154">
        <f>HYPERLINK("https://learning.oreilly.com/live-events/leveraging-ai-for-effective-project-management/0642572000362/0642572010481", "0642572010481")</f>
        <v>0</v>
      </c>
      <c r="B154" t="s">
        <v>32</v>
      </c>
      <c r="C154" t="s">
        <v>33</v>
      </c>
      <c r="D154" t="s">
        <v>34</v>
      </c>
      <c r="E154" t="s">
        <v>507</v>
      </c>
      <c r="F154" t="s">
        <v>35</v>
      </c>
      <c r="G154" t="b">
        <v>0</v>
      </c>
    </row>
    <row r="155" spans="1:7">
      <c r="A155">
        <f>HYPERLINK("https://learning.oreilly.com/live-events/generative-ai-for-leaders-and-managers/0642572010775/0642572010781", "0642572010781")</f>
        <v>0</v>
      </c>
      <c r="B155" t="s">
        <v>237</v>
      </c>
      <c r="C155" t="s">
        <v>282</v>
      </c>
      <c r="D155" t="s">
        <v>283</v>
      </c>
      <c r="E155" t="s">
        <v>508</v>
      </c>
      <c r="F155" t="s">
        <v>284</v>
      </c>
      <c r="G155" t="b">
        <v>0</v>
      </c>
    </row>
    <row r="156" spans="1:7">
      <c r="A156">
        <f>HYPERLINK("https://learning.oreilly.com/live-events/writing-effective-prompts-for-chatgpt/0636920090058/0642572009670", "0642572009670")</f>
        <v>0</v>
      </c>
      <c r="B156" t="s">
        <v>68</v>
      </c>
      <c r="C156" t="s">
        <v>164</v>
      </c>
      <c r="D156" t="s">
        <v>165</v>
      </c>
      <c r="E156" t="s">
        <v>509</v>
      </c>
      <c r="F156" t="s">
        <v>166</v>
      </c>
      <c r="G156" t="b">
        <v>0</v>
      </c>
    </row>
    <row r="157" spans="1:7">
      <c r="A157">
        <f>HYPERLINK("https://learning.oreilly.com/live-events/chatgpt-to-improve-your-writing/0636920097362/0642572009087", "0642572009087")</f>
        <v>0</v>
      </c>
      <c r="B157" t="s">
        <v>81</v>
      </c>
      <c r="C157" t="s">
        <v>219</v>
      </c>
      <c r="D157" t="s">
        <v>220</v>
      </c>
      <c r="E157" t="s">
        <v>510</v>
      </c>
      <c r="F157" t="s">
        <v>27</v>
      </c>
      <c r="G157" t="b">
        <v>0</v>
      </c>
    </row>
    <row r="158" spans="1:7">
      <c r="A158">
        <f>HYPERLINK("https://learning.oreilly.com/live-events/generative-ai-for-excel/0642572001381/0642572009824", "0642572009824")</f>
        <v>0</v>
      </c>
      <c r="B158" t="s">
        <v>259</v>
      </c>
      <c r="C158" t="s">
        <v>260</v>
      </c>
      <c r="D158" t="s">
        <v>261</v>
      </c>
      <c r="E158" t="s">
        <v>511</v>
      </c>
      <c r="F158" t="s">
        <v>262</v>
      </c>
      <c r="G158" t="b">
        <v>0</v>
      </c>
    </row>
    <row r="159" spans="1:7">
      <c r="A159">
        <f>HYPERLINK("https://learning.oreilly.com/live-events/generative-ai-for-business-analysts-in-60-minutes/0642572002743/0642572009736", "0642572009736")</f>
        <v>0</v>
      </c>
      <c r="B159" t="s">
        <v>91</v>
      </c>
      <c r="C159" t="s">
        <v>498</v>
      </c>
      <c r="D159" t="s">
        <v>499</v>
      </c>
      <c r="E159" t="s">
        <v>512</v>
      </c>
      <c r="F159" t="s">
        <v>501</v>
      </c>
      <c r="G159" t="b">
        <v>0</v>
      </c>
    </row>
    <row r="160" spans="1:7">
      <c r="A160">
        <f>HYPERLINK("https://learning.oreilly.com/live-events/generative-ai-for-everyone/0636920097025/0642572009299", "0642572009299")</f>
        <v>0</v>
      </c>
      <c r="B160" t="s">
        <v>367</v>
      </c>
      <c r="C160" t="s">
        <v>368</v>
      </c>
      <c r="D160" t="s">
        <v>369</v>
      </c>
      <c r="E160" t="s">
        <v>513</v>
      </c>
      <c r="F160" t="s">
        <v>371</v>
      </c>
      <c r="G160" t="b">
        <v>0</v>
      </c>
    </row>
    <row r="161" spans="1:7">
      <c r="A161">
        <f>HYPERLINK("https://learning.oreilly.com/live-events/how-llms-work/0790145066962/0642572010489", "0642572010489")</f>
        <v>0</v>
      </c>
      <c r="B161" t="s">
        <v>241</v>
      </c>
      <c r="C161" t="s">
        <v>242</v>
      </c>
      <c r="D161" t="s">
        <v>243</v>
      </c>
      <c r="E161" t="s">
        <v>514</v>
      </c>
      <c r="F161" t="s">
        <v>244</v>
      </c>
      <c r="G161" t="b">
        <v>0</v>
      </c>
    </row>
    <row r="162" spans="1:7">
      <c r="A162">
        <f>HYPERLINK("https://learning.oreilly.com/live-events/chatgpt-for-project-management/0790145085649/0642572009109", "0642572009109")</f>
        <v>0</v>
      </c>
      <c r="B162" t="s">
        <v>32</v>
      </c>
      <c r="C162" t="s">
        <v>495</v>
      </c>
      <c r="D162" t="s">
        <v>496</v>
      </c>
      <c r="E162" t="s">
        <v>515</v>
      </c>
      <c r="F162" t="s">
        <v>27</v>
      </c>
      <c r="G162" t="b">
        <v>0</v>
      </c>
    </row>
    <row r="163" spans="1:7">
      <c r="A163">
        <f>HYPERLINK("https://learning.oreilly.com/live-events/artificial-intelligence/0636920054812/0642572011880", "0642572011880")</f>
        <v>0</v>
      </c>
      <c r="B163" t="s">
        <v>248</v>
      </c>
      <c r="C163" t="s">
        <v>516</v>
      </c>
      <c r="D163" t="s">
        <v>517</v>
      </c>
      <c r="E163" t="s">
        <v>518</v>
      </c>
      <c r="F163" t="s">
        <v>519</v>
      </c>
      <c r="G163" t="b">
        <v>0</v>
      </c>
    </row>
    <row r="164" spans="1:7">
      <c r="A164">
        <f>HYPERLINK("https://learning.oreilly.com/live-events/genai-and-llms-for-product-managers/0636920099564/0642572009539", "0642572009539")</f>
        <v>0</v>
      </c>
      <c r="B164" t="s">
        <v>320</v>
      </c>
      <c r="C164" t="s">
        <v>321</v>
      </c>
      <c r="D164" t="s">
        <v>322</v>
      </c>
      <c r="E164" t="s">
        <v>518</v>
      </c>
      <c r="F164" t="s">
        <v>323</v>
      </c>
      <c r="G164" t="b">
        <v>0</v>
      </c>
    </row>
    <row r="165" spans="1:7">
      <c r="A165">
        <f>HYPERLINK("https://learning.oreilly.com/live-events/prompting-bootcamp/0636920097098/0642572010296", "0642572010296")</f>
        <v>0</v>
      </c>
      <c r="B165" t="s">
        <v>68</v>
      </c>
      <c r="C165" t="s">
        <v>69</v>
      </c>
      <c r="D165" t="s">
        <v>70</v>
      </c>
      <c r="E165" t="s">
        <v>520</v>
      </c>
      <c r="F165" t="s">
        <v>71</v>
      </c>
      <c r="G165" t="b">
        <v>0</v>
      </c>
    </row>
    <row r="166" spans="1:7">
      <c r="A166">
        <f>HYPERLINK("https://learning.oreilly.com/live-events/perfecting-your-chatgpt-prompts/0642572007492/0642572010473", "0642572010473")</f>
        <v>0</v>
      </c>
      <c r="B166" t="s">
        <v>81</v>
      </c>
      <c r="C166" t="s">
        <v>521</v>
      </c>
      <c r="D166" t="s">
        <v>522</v>
      </c>
      <c r="E166" t="s">
        <v>523</v>
      </c>
      <c r="F166" t="s">
        <v>224</v>
      </c>
      <c r="G166" t="b">
        <v>0</v>
      </c>
    </row>
    <row r="167" spans="1:7">
      <c r="A167">
        <f>HYPERLINK("https://learning.oreilly.com/live-events/using-generative-ai-to-land-your-next-job/0790145067802/0642572009510", "0642572009510")</f>
        <v>0</v>
      </c>
      <c r="B167" t="s">
        <v>524</v>
      </c>
      <c r="C167" t="s">
        <v>525</v>
      </c>
      <c r="D167" t="s">
        <v>526</v>
      </c>
      <c r="E167" t="s">
        <v>527</v>
      </c>
      <c r="F167" t="s">
        <v>528</v>
      </c>
      <c r="G167" t="b">
        <v>0</v>
      </c>
    </row>
    <row r="168" spans="1:7">
      <c r="A168">
        <f>HYPERLINK("https://learning.oreilly.com/live-events/using-generative-ai-to-boost-your-personal-productivity/0636920099736/0642572009052", "0642572009052")</f>
        <v>0</v>
      </c>
      <c r="B168" t="s">
        <v>24</v>
      </c>
      <c r="C168" t="s">
        <v>25</v>
      </c>
      <c r="D168" t="s">
        <v>26</v>
      </c>
      <c r="E168" t="s">
        <v>529</v>
      </c>
      <c r="F168" t="s">
        <v>27</v>
      </c>
      <c r="G168" t="b">
        <v>0</v>
      </c>
    </row>
    <row r="169" spans="1:7">
      <c r="A169">
        <f>HYPERLINK("https://learning.oreilly.com/live-events/prompt-engineering-for-generating-ai-art-and-text/0636920084340/0642572009579", "0642572009579")</f>
        <v>0</v>
      </c>
      <c r="B169" t="s">
        <v>68</v>
      </c>
      <c r="C169" t="s">
        <v>530</v>
      </c>
      <c r="D169" t="s">
        <v>531</v>
      </c>
      <c r="E169" t="s">
        <v>532</v>
      </c>
      <c r="F169" t="s">
        <v>533</v>
      </c>
      <c r="G169" t="b">
        <v>0</v>
      </c>
    </row>
    <row r="170" spans="1:7">
      <c r="A170">
        <f>HYPERLINK("https://learning.oreilly.com/live-events/choosing-the-right-llm/0642572002832/0642572010497", "0642572010497")</f>
        <v>0</v>
      </c>
      <c r="B170" t="s">
        <v>386</v>
      </c>
      <c r="C170" t="s">
        <v>387</v>
      </c>
      <c r="D170" t="s">
        <v>388</v>
      </c>
      <c r="E170" t="s">
        <v>534</v>
      </c>
      <c r="F170" t="s">
        <v>389</v>
      </c>
      <c r="G170" t="b">
        <v>0</v>
      </c>
    </row>
    <row r="171" spans="1:7">
      <c r="A171">
        <f>HYPERLINK("https://learning.oreilly.com/live-events/copilot-for-microsoft-365/0642572007490/0642572009991", "0642572009991")</f>
        <v>0</v>
      </c>
      <c r="B171" t="s">
        <v>463</v>
      </c>
      <c r="C171" t="s">
        <v>464</v>
      </c>
      <c r="D171" t="s">
        <v>465</v>
      </c>
      <c r="E171" t="s">
        <v>535</v>
      </c>
      <c r="F171" t="s">
        <v>466</v>
      </c>
      <c r="G171" t="b">
        <v>0</v>
      </c>
    </row>
    <row r="172" spans="1:7">
      <c r="A172">
        <f>HYPERLINK("https://learning.oreilly.com/live-events/product-design-with-genai/0642572003764/0642572009690", "0642572009690")</f>
        <v>0</v>
      </c>
      <c r="B172" t="s">
        <v>229</v>
      </c>
      <c r="C172" t="s">
        <v>425</v>
      </c>
      <c r="D172" t="s">
        <v>426</v>
      </c>
      <c r="E172" t="s">
        <v>535</v>
      </c>
      <c r="F172" t="s">
        <v>428</v>
      </c>
      <c r="G172" t="b">
        <v>0</v>
      </c>
    </row>
    <row r="173" spans="1:7">
      <c r="A173">
        <f>HYPERLINK("https://learning.oreilly.com/live-events/generative-ai-for-everyone/0636920097025/0642572009303", "0642572009303")</f>
        <v>0</v>
      </c>
      <c r="B173" t="s">
        <v>367</v>
      </c>
      <c r="C173" t="s">
        <v>368</v>
      </c>
      <c r="D173" t="s">
        <v>369</v>
      </c>
      <c r="E173" t="s">
        <v>536</v>
      </c>
      <c r="F173" t="s">
        <v>371</v>
      </c>
      <c r="G173" t="b">
        <v>0</v>
      </c>
    </row>
    <row r="174" spans="1:7">
      <c r="A174">
        <f>HYPERLINK("https://learning.oreilly.com/live-events/chatgpt-to-improve-your-writing/0636920097362/0642572009092", "0642572009092")</f>
        <v>0</v>
      </c>
      <c r="B174" t="s">
        <v>81</v>
      </c>
      <c r="C174" t="s">
        <v>219</v>
      </c>
      <c r="D174" t="s">
        <v>220</v>
      </c>
      <c r="E174" t="s">
        <v>536</v>
      </c>
      <c r="F174" t="s">
        <v>27</v>
      </c>
      <c r="G174" t="b">
        <v>0</v>
      </c>
    </row>
    <row r="175" spans="1:7">
      <c r="A175">
        <f>HYPERLINK("https://learning.oreilly.com/live-events/generative-ai-for-business-analysts-in-60-minutes/0642572002743/0642572009740", "0642572009740")</f>
        <v>0</v>
      </c>
      <c r="B175" t="s">
        <v>91</v>
      </c>
      <c r="C175" t="s">
        <v>498</v>
      </c>
      <c r="D175" t="s">
        <v>499</v>
      </c>
      <c r="E175" t="s">
        <v>536</v>
      </c>
      <c r="F175" t="s">
        <v>501</v>
      </c>
      <c r="G175" t="b">
        <v>0</v>
      </c>
    </row>
    <row r="176" spans="1:7">
      <c r="A176">
        <f>HYPERLINK("https://learning.oreilly.com/live-events/writing-effective-prompts-for-chatgpt/0636920090058/0642572009674", "0642572009674")</f>
        <v>0</v>
      </c>
      <c r="B176" t="s">
        <v>68</v>
      </c>
      <c r="C176" t="s">
        <v>164</v>
      </c>
      <c r="D176" t="s">
        <v>165</v>
      </c>
      <c r="E176" t="s">
        <v>537</v>
      </c>
      <c r="F176" t="s">
        <v>166</v>
      </c>
      <c r="G176" t="b">
        <v>0</v>
      </c>
    </row>
    <row r="177" spans="1:7">
      <c r="A177">
        <f>HYPERLINK("https://learning.oreilly.com/live-events/chatgpt-for-project-management/0790145085649/0642572009114", "0642572009114")</f>
        <v>0</v>
      </c>
      <c r="B177" t="s">
        <v>32</v>
      </c>
      <c r="C177" t="s">
        <v>495</v>
      </c>
      <c r="D177" t="s">
        <v>496</v>
      </c>
      <c r="E177" t="s">
        <v>538</v>
      </c>
      <c r="F177" t="s">
        <v>27</v>
      </c>
      <c r="G177" t="b">
        <v>0</v>
      </c>
    </row>
    <row r="178" spans="1:7">
      <c r="A178">
        <f>HYPERLINK("https://learning.oreilly.com/live-events/generative-ai-for-presentations/0642572010259/0642572010280", "0642572010280")</f>
        <v>0</v>
      </c>
      <c r="B178" t="s">
        <v>112</v>
      </c>
      <c r="C178" t="s">
        <v>489</v>
      </c>
      <c r="D178" t="s">
        <v>490</v>
      </c>
      <c r="E178" t="s">
        <v>539</v>
      </c>
      <c r="F178" t="s">
        <v>115</v>
      </c>
      <c r="G178" t="b">
        <v>0</v>
      </c>
    </row>
    <row r="179" spans="1:7">
      <c r="A179">
        <f>HYPERLINK("https://learning.oreilly.com/live-events/prompting-bootcamp/0636920097098/0642572010302", "0642572010302")</f>
        <v>0</v>
      </c>
      <c r="B179" t="s">
        <v>68</v>
      </c>
      <c r="C179" t="s">
        <v>69</v>
      </c>
      <c r="D179" t="s">
        <v>70</v>
      </c>
      <c r="E179" t="s">
        <v>540</v>
      </c>
      <c r="F179" t="s">
        <v>71</v>
      </c>
      <c r="G179" t="b">
        <v>0</v>
      </c>
    </row>
    <row r="180" spans="1:7">
      <c r="A180">
        <f>HYPERLINK("https://learning.oreilly.com/live-events/powerful-public-speaking/0642572007903/0642572007902", "0642572007902")</f>
        <v>0</v>
      </c>
      <c r="B180" t="s">
        <v>7</v>
      </c>
      <c r="C180" t="s">
        <v>8</v>
      </c>
      <c r="D180" t="s">
        <v>9</v>
      </c>
      <c r="E180" t="s">
        <v>10</v>
      </c>
      <c r="F180" t="s">
        <v>11</v>
      </c>
      <c r="G180" t="b">
        <v>0</v>
      </c>
    </row>
    <row r="181" spans="1:7">
      <c r="A181">
        <f>HYPERLINK("https://learning.oreilly.com/live-events/system-design-interview-boot-camp/0636920090983/0642572011423", "0642572011423")</f>
        <v>0</v>
      </c>
      <c r="B181" t="s">
        <v>12</v>
      </c>
      <c r="C181" t="s">
        <v>13</v>
      </c>
      <c r="D181" t="s">
        <v>14</v>
      </c>
      <c r="E181" t="s">
        <v>15</v>
      </c>
      <c r="F181" t="s">
        <v>16</v>
      </c>
      <c r="G181" t="b">
        <v>0</v>
      </c>
    </row>
    <row r="182" spans="1:7">
      <c r="A182">
        <f>HYPERLINK("https://learning.oreilly.com/live-events/microservices-bootcamp/0642572005573/0642572009590", "0642572009590")</f>
        <v>0</v>
      </c>
      <c r="B182" t="s">
        <v>17</v>
      </c>
      <c r="C182" t="s">
        <v>18</v>
      </c>
      <c r="D182" t="s">
        <v>19</v>
      </c>
      <c r="E182" t="s">
        <v>15</v>
      </c>
      <c r="F182" t="s">
        <v>20</v>
      </c>
      <c r="G182" t="b">
        <v>0</v>
      </c>
    </row>
    <row r="183" spans="1:7">
      <c r="A183">
        <f>HYPERLINK("https://learning.oreilly.com/live-events/power-bi-bootcamp/0636920075690/0642572011036", "0642572011036")</f>
        <v>0</v>
      </c>
      <c r="B183" t="s">
        <v>21</v>
      </c>
      <c r="C183" t="s">
        <v>22</v>
      </c>
      <c r="E183" t="s">
        <v>15</v>
      </c>
      <c r="F183" t="s">
        <v>23</v>
      </c>
      <c r="G183" t="b">
        <v>0</v>
      </c>
    </row>
    <row r="184" spans="1:7">
      <c r="A184">
        <f>HYPERLINK("https://learning.oreilly.com/live-events/using-generative-ai-to-boost-your-personal-productivity/0636920099736/0642572009075", "0642572009075")</f>
        <v>0</v>
      </c>
      <c r="B184" t="s">
        <v>24</v>
      </c>
      <c r="C184" t="s">
        <v>25</v>
      </c>
      <c r="D184" t="s">
        <v>26</v>
      </c>
      <c r="E184" t="s">
        <v>15</v>
      </c>
      <c r="F184" t="s">
        <v>27</v>
      </c>
      <c r="G184" t="b">
        <v>0</v>
      </c>
    </row>
    <row r="185" spans="1:7">
      <c r="A185">
        <f>HYPERLINK("https://learning.oreilly.com/live-events/ansible-ai/0642572011168/0642572011167", "0642572011167")</f>
        <v>0</v>
      </c>
      <c r="B185" t="s">
        <v>28</v>
      </c>
      <c r="C185" t="s">
        <v>29</v>
      </c>
      <c r="D185" t="s">
        <v>30</v>
      </c>
      <c r="E185" t="s">
        <v>15</v>
      </c>
      <c r="F185" t="s">
        <v>31</v>
      </c>
      <c r="G185" t="b">
        <v>0</v>
      </c>
    </row>
    <row r="186" spans="1:7">
      <c r="A186">
        <f>HYPERLINK("https://learning.oreilly.com/live-events/leveraging-ai-for-effective-project-management/0642572000362/0642572010477", "0642572010477")</f>
        <v>0</v>
      </c>
      <c r="B186" t="s">
        <v>32</v>
      </c>
      <c r="C186" t="s">
        <v>33</v>
      </c>
      <c r="D186" t="s">
        <v>34</v>
      </c>
      <c r="E186" t="s">
        <v>15</v>
      </c>
      <c r="F186" t="s">
        <v>35</v>
      </c>
      <c r="G186" t="b">
        <v>0</v>
      </c>
    </row>
    <row r="187" spans="1:7">
      <c r="A187">
        <f>HYPERLINK("https://learning.oreilly.com/live-events/c-essentials-stl-algorithms/0636920056821/0642572011290", "0642572011290")</f>
        <v>0</v>
      </c>
      <c r="B187" t="s">
        <v>36</v>
      </c>
      <c r="C187" t="s">
        <v>37</v>
      </c>
      <c r="D187" t="s">
        <v>38</v>
      </c>
      <c r="E187" t="s">
        <v>15</v>
      </c>
      <c r="F187" t="s">
        <v>39</v>
      </c>
      <c r="G187" t="b">
        <v>0</v>
      </c>
    </row>
    <row r="188" spans="1:7">
      <c r="A188">
        <f>HYPERLINK("https://learning.oreilly.com/live-events/build-your-critical-thinking-skills-in-3-weeks/0636920064650/0642572012539", "0642572012539")</f>
        <v>0</v>
      </c>
      <c r="B188" t="s">
        <v>40</v>
      </c>
      <c r="C188" t="s">
        <v>41</v>
      </c>
      <c r="D188" t="s">
        <v>42</v>
      </c>
      <c r="E188" t="s">
        <v>15</v>
      </c>
      <c r="F188" t="s">
        <v>43</v>
      </c>
      <c r="G188" t="b">
        <v>0</v>
      </c>
    </row>
    <row r="189" spans="1:7">
      <c r="A189">
        <f>HYPERLINK("https://learning.oreilly.com/live-events/hands-on-python-foundations-in-3-weeks/0636920066509/0642572011152", "0642572011152")</f>
        <v>0</v>
      </c>
      <c r="B189" t="s">
        <v>44</v>
      </c>
      <c r="C189" t="s">
        <v>45</v>
      </c>
      <c r="D189" t="s">
        <v>46</v>
      </c>
      <c r="E189" t="s">
        <v>15</v>
      </c>
      <c r="F189" t="s">
        <v>47</v>
      </c>
      <c r="G189" t="b">
        <v>0</v>
      </c>
    </row>
    <row r="190" spans="1:7">
      <c r="A190">
        <f>HYPERLINK("https://learning.oreilly.com/live-events/90-minutes-to-better-decision-making/0636920298557/0642572012013", "0642572012013")</f>
        <v>0</v>
      </c>
      <c r="B190" t="s">
        <v>40</v>
      </c>
      <c r="C190" t="s">
        <v>48</v>
      </c>
      <c r="D190" t="s">
        <v>49</v>
      </c>
      <c r="E190" t="s">
        <v>15</v>
      </c>
      <c r="F190" t="s">
        <v>50</v>
      </c>
      <c r="G190" t="b">
        <v>0</v>
      </c>
    </row>
    <row r="191" spans="1:7">
      <c r="A191">
        <f>HYPERLINK("https://learning.oreilly.com/live-events/ai-and-ml-algorithms-for-non-mathematicians-and-data-science-beginners/0636920099583/0642572011549", "0642572011549")</f>
        <v>0</v>
      </c>
      <c r="B191" t="s">
        <v>51</v>
      </c>
      <c r="C191" t="s">
        <v>52</v>
      </c>
      <c r="D191" t="s">
        <v>53</v>
      </c>
      <c r="E191" t="s">
        <v>15</v>
      </c>
      <c r="F191" t="s">
        <v>54</v>
      </c>
      <c r="G191" t="b">
        <v>0</v>
      </c>
    </row>
    <row r="192" spans="1:7">
      <c r="A192">
        <f>HYPERLINK("https://learning.oreilly.com/live-events/tls-handshake-deep-dive-tls-v13/0642572000588/0642572011405", "0642572011405")</f>
        <v>0</v>
      </c>
      <c r="B192" t="s">
        <v>55</v>
      </c>
      <c r="C192" t="s">
        <v>56</v>
      </c>
      <c r="D192" t="s">
        <v>57</v>
      </c>
      <c r="E192" t="s">
        <v>58</v>
      </c>
      <c r="F192" t="s">
        <v>59</v>
      </c>
      <c r="G192" t="b">
        <v>0</v>
      </c>
    </row>
    <row r="193" spans="1:7">
      <c r="A193">
        <f>HYPERLINK("https://learning.oreilly.com/live-events/hands-on-aws-in-3-weeks/0636920057763/0642572011194", "0642572011194")</f>
        <v>0</v>
      </c>
      <c r="B193" t="s">
        <v>60</v>
      </c>
      <c r="C193" t="s">
        <v>61</v>
      </c>
      <c r="D193" t="s">
        <v>62</v>
      </c>
      <c r="E193" t="s">
        <v>58</v>
      </c>
      <c r="F193" t="s">
        <v>63</v>
      </c>
      <c r="G193" t="b">
        <v>0</v>
      </c>
    </row>
    <row r="194" spans="1:7">
      <c r="A194">
        <f>HYPERLINK("https://learning.oreilly.com/live-events/google-cloud-associate-cloud-engineer-bootcamp/0642572003483/0642572011450", "0642572011450")</f>
        <v>0</v>
      </c>
      <c r="B194" t="s">
        <v>64</v>
      </c>
      <c r="C194" t="s">
        <v>65</v>
      </c>
      <c r="D194" t="s">
        <v>66</v>
      </c>
      <c r="E194" t="s">
        <v>58</v>
      </c>
      <c r="F194" t="s">
        <v>67</v>
      </c>
      <c r="G194" t="b">
        <v>0</v>
      </c>
    </row>
    <row r="195" spans="1:7">
      <c r="A195">
        <f>HYPERLINK("https://learning.oreilly.com/live-events/prompting-bootcamp/0636920097098/0642572010290", "0642572010290")</f>
        <v>0</v>
      </c>
      <c r="B195" t="s">
        <v>68</v>
      </c>
      <c r="C195" t="s">
        <v>69</v>
      </c>
      <c r="D195" t="s">
        <v>70</v>
      </c>
      <c r="E195" t="s">
        <v>58</v>
      </c>
      <c r="F195" t="s">
        <v>71</v>
      </c>
      <c r="G195" t="b">
        <v>0</v>
      </c>
    </row>
    <row r="196" spans="1:7">
      <c r="A196">
        <f>HYPERLINK("https://learning.oreilly.com/live-events/cursor-for-software-engineers/0642572012981/0642572012980", "0642572012980")</f>
        <v>0</v>
      </c>
      <c r="B196" t="s">
        <v>72</v>
      </c>
      <c r="C196" t="s">
        <v>73</v>
      </c>
      <c r="D196" t="s">
        <v>74</v>
      </c>
      <c r="E196" t="s">
        <v>58</v>
      </c>
      <c r="F196" t="s">
        <v>75</v>
      </c>
      <c r="G196" t="b">
        <v>0</v>
      </c>
    </row>
    <row r="197" spans="1:7">
      <c r="A197">
        <f>HYPERLINK("https://learning.oreilly.com/live-events/python-full-throttle-with-paul-deitel-a-one-day-fast-paced-code-intensive-python-presentation/0636920274667/0642572010860", "0642572010860")</f>
        <v>0</v>
      </c>
      <c r="B197" t="s">
        <v>44</v>
      </c>
      <c r="C197" t="s">
        <v>76</v>
      </c>
      <c r="E197" t="s">
        <v>58</v>
      </c>
      <c r="F197" t="s">
        <v>77</v>
      </c>
      <c r="G197" t="b">
        <v>0</v>
      </c>
    </row>
    <row r="198" spans="1:7">
      <c r="A198">
        <f>HYPERLINK("https://learning.oreilly.com/live-events/linux-fundamentals-bootcamp/0636920325130/0642572011160", "0642572011160")</f>
        <v>0</v>
      </c>
      <c r="B198" t="s">
        <v>78</v>
      </c>
      <c r="C198" t="s">
        <v>79</v>
      </c>
      <c r="D198" t="s">
        <v>80</v>
      </c>
      <c r="E198" t="s">
        <v>58</v>
      </c>
      <c r="F198" t="s">
        <v>31</v>
      </c>
      <c r="G198" t="b">
        <v>0</v>
      </c>
    </row>
    <row r="199" spans="1:7">
      <c r="A199">
        <f>HYPERLINK("https://learning.oreilly.com/live-events/building-text-based-applications-with-the-chatgpt-api-and-langchain/0636920092333/0642572010889", "0642572010889")</f>
        <v>0</v>
      </c>
      <c r="B199" t="s">
        <v>81</v>
      </c>
      <c r="C199" t="s">
        <v>82</v>
      </c>
      <c r="D199" t="s">
        <v>83</v>
      </c>
      <c r="E199" t="s">
        <v>58</v>
      </c>
      <c r="F199" t="s">
        <v>84</v>
      </c>
      <c r="G199" t="b">
        <v>0</v>
      </c>
    </row>
    <row r="200" spans="1:7">
      <c r="A200">
        <f>HYPERLINK("https://learning.oreilly.com/live-events/data-analysis-with-python/0642572100057/0642572009836", "0642572009836")</f>
        <v>0</v>
      </c>
      <c r="B200" t="s">
        <v>44</v>
      </c>
      <c r="C200" t="s">
        <v>85</v>
      </c>
      <c r="D200" t="s">
        <v>86</v>
      </c>
      <c r="E200" t="s">
        <v>58</v>
      </c>
      <c r="F200" t="s">
        <v>87</v>
      </c>
      <c r="G200" t="b">
        <v>0</v>
      </c>
    </row>
    <row r="201" spans="1:7">
      <c r="A201">
        <f>HYPERLINK("https://learning.oreilly.com/live-events/large-language-models-and-chatgpt-in-3-weeks/0636920090988/0642572010864", "0642572010864")</f>
        <v>0</v>
      </c>
      <c r="B201" t="s">
        <v>81</v>
      </c>
      <c r="C201" t="s">
        <v>88</v>
      </c>
      <c r="D201" t="s">
        <v>89</v>
      </c>
      <c r="E201" t="s">
        <v>58</v>
      </c>
      <c r="F201" t="s">
        <v>90</v>
      </c>
      <c r="G201" t="b">
        <v>0</v>
      </c>
    </row>
    <row r="202" spans="1:7">
      <c r="A202">
        <f>HYPERLINK("https://learning.oreilly.com/live-events/generative-ai-for-finance-in-60-minutes/0636920097023/0642572009524", "0642572009524")</f>
        <v>0</v>
      </c>
      <c r="B202" t="s">
        <v>91</v>
      </c>
      <c r="C202" t="s">
        <v>92</v>
      </c>
      <c r="D202" t="s">
        <v>93</v>
      </c>
      <c r="E202" t="s">
        <v>58</v>
      </c>
      <c r="F202" t="s">
        <v>94</v>
      </c>
      <c r="G202" t="b">
        <v>0</v>
      </c>
    </row>
    <row r="203" spans="1:7">
      <c r="A203">
        <f>HYPERLINK("https://learning.oreilly.com/live-events/domain-driven-design-first-steps/0636920436867/0642572011839", "0642572011839")</f>
        <v>0</v>
      </c>
      <c r="B203" t="s">
        <v>95</v>
      </c>
      <c r="C203" t="s">
        <v>96</v>
      </c>
      <c r="D203" t="s">
        <v>97</v>
      </c>
      <c r="E203" t="s">
        <v>98</v>
      </c>
      <c r="F203" t="s">
        <v>99</v>
      </c>
      <c r="G203" t="b">
        <v>0</v>
      </c>
    </row>
    <row r="204" spans="1:7">
      <c r="A204">
        <f>HYPERLINK("https://learning.oreilly.com/live-events/gitops-for-kubernetes/0636920078987/0642572011216", "0642572011216")</f>
        <v>0</v>
      </c>
      <c r="B204" t="s">
        <v>100</v>
      </c>
      <c r="C204" t="s">
        <v>101</v>
      </c>
      <c r="D204" t="s">
        <v>102</v>
      </c>
      <c r="E204" t="s">
        <v>98</v>
      </c>
      <c r="F204" t="s">
        <v>103</v>
      </c>
      <c r="G204" t="b">
        <v>0</v>
      </c>
    </row>
    <row r="205" spans="1:7">
      <c r="A205">
        <f>HYPERLINK("https://learning.oreilly.com/live-events/use-git-like-a-pro/0790145082658/0642572011555", "0642572011555")</f>
        <v>0</v>
      </c>
      <c r="B205" t="s">
        <v>104</v>
      </c>
      <c r="C205" t="s">
        <v>105</v>
      </c>
      <c r="D205" t="s">
        <v>106</v>
      </c>
      <c r="E205" t="s">
        <v>98</v>
      </c>
      <c r="F205" t="s">
        <v>107</v>
      </c>
      <c r="G205" t="b">
        <v>0</v>
      </c>
    </row>
    <row r="206" spans="1:7">
      <c r="A206">
        <f>HYPERLINK("https://learning.oreilly.com/live-events/generative-ai-for-scrum-teams/0790145067209/0642572009748", "0642572009748")</f>
        <v>0</v>
      </c>
      <c r="B206" t="s">
        <v>108</v>
      </c>
      <c r="C206" t="s">
        <v>109</v>
      </c>
      <c r="D206" t="s">
        <v>110</v>
      </c>
      <c r="E206" t="s">
        <v>98</v>
      </c>
      <c r="F206" t="s">
        <v>111</v>
      </c>
      <c r="G206" t="b">
        <v>0</v>
      </c>
    </row>
    <row r="207" spans="1:7">
      <c r="A207">
        <f>HYPERLINK("https://learning.oreilly.com/live-events/how-to-give-great-presentations/0636920054691/0642572011681", "0642572011681")</f>
        <v>0</v>
      </c>
      <c r="B207" t="s">
        <v>112</v>
      </c>
      <c r="C207" t="s">
        <v>113</v>
      </c>
      <c r="D207" t="s">
        <v>114</v>
      </c>
      <c r="E207" t="s">
        <v>98</v>
      </c>
      <c r="F207" t="s">
        <v>115</v>
      </c>
      <c r="G207" t="b">
        <v>0</v>
      </c>
    </row>
    <row r="208" spans="1:7">
      <c r="A208">
        <f>HYPERLINK("https://learning.oreilly.com/live-events/typescript-fundamentals/0636920483021/0642572011258", "0642572011258")</f>
        <v>0</v>
      </c>
      <c r="B208" t="s">
        <v>116</v>
      </c>
      <c r="C208" t="s">
        <v>117</v>
      </c>
      <c r="D208" t="s">
        <v>118</v>
      </c>
      <c r="E208" t="s">
        <v>98</v>
      </c>
      <c r="F208" t="s">
        <v>119</v>
      </c>
      <c r="G208" t="b">
        <v>0</v>
      </c>
    </row>
    <row r="209" spans="1:7">
      <c r="A209">
        <f>HYPERLINK("https://learning.oreilly.com/live-events/design-patterns-boot-camp/0636920057253/0642572012146", "0642572012146")</f>
        <v>0</v>
      </c>
      <c r="B209" t="s">
        <v>120</v>
      </c>
      <c r="C209" t="s">
        <v>121</v>
      </c>
      <c r="D209" t="s">
        <v>122</v>
      </c>
      <c r="E209" t="s">
        <v>98</v>
      </c>
      <c r="F209" t="s">
        <v>123</v>
      </c>
      <c r="G209" t="b">
        <v>0</v>
      </c>
    </row>
    <row r="210" spans="1:7">
      <c r="A210">
        <f>HYPERLINK("https://learning.oreilly.com/live-events/mastering-effective-stakeholder-engagement/0642572011362/0642572011361", "0642572011361")</f>
        <v>0</v>
      </c>
      <c r="B210" t="s">
        <v>124</v>
      </c>
      <c r="C210" t="s">
        <v>125</v>
      </c>
      <c r="D210" t="s">
        <v>126</v>
      </c>
      <c r="E210" t="s">
        <v>98</v>
      </c>
      <c r="F210" t="s">
        <v>127</v>
      </c>
      <c r="G210" t="b">
        <v>0</v>
      </c>
    </row>
    <row r="211" spans="1:7">
      <c r="A211">
        <f>HYPERLINK("https://learning.oreilly.com/live-events/tcpip-fundamentals/0636920345237/0642572011973", "0642572011973")</f>
        <v>0</v>
      </c>
      <c r="B211" t="s">
        <v>128</v>
      </c>
      <c r="C211" t="s">
        <v>129</v>
      </c>
      <c r="D211" t="s">
        <v>130</v>
      </c>
      <c r="E211" t="s">
        <v>98</v>
      </c>
      <c r="F211" t="s">
        <v>131</v>
      </c>
      <c r="G211" t="b">
        <v>0</v>
      </c>
    </row>
    <row r="212" spans="1:7">
      <c r="A212">
        <f>HYPERLINK("https://learning.oreilly.com/live-events/github-fundamentals-bootcamp/0636920099607/0642572009920", "0642572009920")</f>
        <v>0</v>
      </c>
      <c r="B212" t="s">
        <v>132</v>
      </c>
      <c r="C212" t="s">
        <v>133</v>
      </c>
      <c r="D212" t="s">
        <v>134</v>
      </c>
      <c r="E212" t="s">
        <v>98</v>
      </c>
      <c r="F212" t="s">
        <v>135</v>
      </c>
      <c r="G212" t="b">
        <v>0</v>
      </c>
    </row>
    <row r="213" spans="1:7">
      <c r="A213">
        <f>HYPERLINK("https://learning.oreilly.com/live-events/build-your-own-ai-lab/0642572007495/0642572011888", "0642572011888")</f>
        <v>0</v>
      </c>
      <c r="B213" t="s">
        <v>136</v>
      </c>
      <c r="C213" t="s">
        <v>137</v>
      </c>
      <c r="D213" t="s">
        <v>138</v>
      </c>
      <c r="E213" t="s">
        <v>139</v>
      </c>
      <c r="F213" t="s">
        <v>140</v>
      </c>
      <c r="G213" t="b">
        <v>0</v>
      </c>
    </row>
    <row r="214" spans="1:7">
      <c r="A214">
        <f>HYPERLINK("https://learning.oreilly.com/live-events/rust-in-4-hours/0636920063666/0642572011853", "0642572011853")</f>
        <v>0</v>
      </c>
      <c r="B214" t="s">
        <v>141</v>
      </c>
      <c r="C214" t="s">
        <v>142</v>
      </c>
      <c r="D214" t="s">
        <v>143</v>
      </c>
      <c r="E214" t="s">
        <v>139</v>
      </c>
      <c r="F214" t="s">
        <v>144</v>
      </c>
      <c r="G214" t="b">
        <v>0</v>
      </c>
    </row>
    <row r="215" spans="1:7">
      <c r="A215">
        <f>HYPERLINK("https://learning.oreilly.com/live-events/getting-started-with-kubernetes/0790145086106/0642572010445", "0642572010445")</f>
        <v>0</v>
      </c>
      <c r="B215" t="s">
        <v>100</v>
      </c>
      <c r="C215" t="s">
        <v>145</v>
      </c>
      <c r="D215" t="s">
        <v>146</v>
      </c>
      <c r="E215" t="s">
        <v>139</v>
      </c>
      <c r="F215" t="s">
        <v>147</v>
      </c>
      <c r="G215" t="b">
        <v>0</v>
      </c>
    </row>
    <row r="216" spans="1:7">
      <c r="A216">
        <f>HYPERLINK("https://learning.oreilly.com/live-events/beginning-splunk/0636920372424/0642572011823", "0642572011823")</f>
        <v>0</v>
      </c>
      <c r="B216" t="s">
        <v>148</v>
      </c>
      <c r="C216" t="s">
        <v>149</v>
      </c>
      <c r="D216" t="s">
        <v>150</v>
      </c>
      <c r="E216" t="s">
        <v>139</v>
      </c>
      <c r="F216" t="s">
        <v>151</v>
      </c>
      <c r="G216" t="b">
        <v>0</v>
      </c>
    </row>
    <row r="217" spans="1:7">
      <c r="A217">
        <f>HYPERLINK("https://learning.oreilly.com/live-events/communicating-software-architecture/0636920078578/0642572012233", "0642572012233")</f>
        <v>0</v>
      </c>
      <c r="B217" t="s">
        <v>12</v>
      </c>
      <c r="C217" t="s">
        <v>152</v>
      </c>
      <c r="D217" t="s">
        <v>153</v>
      </c>
      <c r="E217" t="s">
        <v>139</v>
      </c>
      <c r="F217" t="s">
        <v>154</v>
      </c>
      <c r="G217" t="b">
        <v>0</v>
      </c>
    </row>
    <row r="218" spans="1:7">
      <c r="A218">
        <f>HYPERLINK("https://learning.oreilly.com/live-events/advanced-jira-for-agile-projects/0636920086083/0642572011872", "0642572011872")</f>
        <v>0</v>
      </c>
      <c r="B218" t="s">
        <v>155</v>
      </c>
      <c r="C218" t="s">
        <v>156</v>
      </c>
      <c r="D218" t="s">
        <v>157</v>
      </c>
      <c r="E218" t="s">
        <v>139</v>
      </c>
      <c r="F218" t="s">
        <v>158</v>
      </c>
      <c r="G218" t="b">
        <v>0</v>
      </c>
    </row>
    <row r="219" spans="1:7">
      <c r="A219">
        <f>HYPERLINK("https://learning.oreilly.com/live-events/spring-ai/0790145045396/0642572010092", "0642572010092")</f>
        <v>0</v>
      </c>
      <c r="B219" t="s">
        <v>159</v>
      </c>
      <c r="C219" t="s">
        <v>160</v>
      </c>
      <c r="D219" t="s">
        <v>161</v>
      </c>
      <c r="E219" t="s">
        <v>162</v>
      </c>
      <c r="F219" t="s">
        <v>163</v>
      </c>
      <c r="G219" t="b">
        <v>0</v>
      </c>
    </row>
    <row r="220" spans="1:7">
      <c r="A220">
        <f>HYPERLINK("https://learning.oreilly.com/live-events/writing-effective-prompts-for-chatgpt/0636920090058/0642572009662", "0642572009662")</f>
        <v>0</v>
      </c>
      <c r="B220" t="s">
        <v>68</v>
      </c>
      <c r="C220" t="s">
        <v>164</v>
      </c>
      <c r="D220" t="s">
        <v>165</v>
      </c>
      <c r="E220" t="s">
        <v>162</v>
      </c>
      <c r="F220" t="s">
        <v>166</v>
      </c>
      <c r="G220" t="b">
        <v>0</v>
      </c>
    </row>
    <row r="221" spans="1:7">
      <c r="A221">
        <f>HYPERLINK("https://learning.oreilly.com/live-events/software-architecture-by-example/0636920261797/0642572010195", "0642572010195")</f>
        <v>0</v>
      </c>
      <c r="B221" t="s">
        <v>12</v>
      </c>
      <c r="C221" t="s">
        <v>167</v>
      </c>
      <c r="D221" t="s">
        <v>168</v>
      </c>
      <c r="E221" t="s">
        <v>162</v>
      </c>
      <c r="F221" t="s">
        <v>169</v>
      </c>
      <c r="G221" t="b">
        <v>0</v>
      </c>
    </row>
    <row r="222" spans="1:7">
      <c r="A222">
        <f>HYPERLINK("https://learning.oreilly.com/live-events/building-agents-with-openais-gpt-assistants-api/0642572010712/0642572010711", "0642572010711")</f>
        <v>0</v>
      </c>
      <c r="B222" t="s">
        <v>81</v>
      </c>
      <c r="C222" t="s">
        <v>170</v>
      </c>
      <c r="D222" t="s">
        <v>171</v>
      </c>
      <c r="E222" t="s">
        <v>162</v>
      </c>
      <c r="F222" t="s">
        <v>84</v>
      </c>
      <c r="G222" t="b">
        <v>1</v>
      </c>
    </row>
    <row r="223" spans="1:7">
      <c r="A223">
        <f>HYPERLINK("https://learning.oreilly.com/live-events/red-hat-certified-system-administrator-rhcsa-rhel-9-crash-course/0636920077845/0642572011107", "0642572011107")</f>
        <v>0</v>
      </c>
      <c r="B223" t="s">
        <v>172</v>
      </c>
      <c r="C223" t="s">
        <v>173</v>
      </c>
      <c r="D223" t="s">
        <v>174</v>
      </c>
      <c r="E223" t="s">
        <v>162</v>
      </c>
      <c r="F223" t="s">
        <v>31</v>
      </c>
      <c r="G223" t="b">
        <v>0</v>
      </c>
    </row>
    <row r="224" spans="1:7">
      <c r="A224">
        <f>HYPERLINK("https://learning.oreilly.com/live-events/hashicorp-certified-terraform-associate-certification-crash-course/0636920072267/0642572010999", "0642572010999")</f>
        <v>0</v>
      </c>
      <c r="B224" t="s">
        <v>175</v>
      </c>
      <c r="C224" t="s">
        <v>176</v>
      </c>
      <c r="D224" t="s">
        <v>177</v>
      </c>
      <c r="E224" t="s">
        <v>162</v>
      </c>
      <c r="F224" t="s">
        <v>178</v>
      </c>
      <c r="G224" t="b">
        <v>0</v>
      </c>
    </row>
    <row r="225" spans="1:7">
      <c r="A225">
        <f>HYPERLINK("https://learning.oreilly.com/live-events/clean-code/0636920194545/0642572011540", "0642572011540")</f>
        <v>0</v>
      </c>
      <c r="B225" t="s">
        <v>179</v>
      </c>
      <c r="C225" t="s">
        <v>179</v>
      </c>
      <c r="E225" t="s">
        <v>162</v>
      </c>
      <c r="F225" t="s">
        <v>180</v>
      </c>
      <c r="G225" t="b">
        <v>0</v>
      </c>
    </row>
    <row r="226" spans="1:7">
      <c r="A226">
        <f>HYPERLINK("https://learning.oreilly.com/live-events/co-programming-in-python-with-genai/0642572011121/0642572011120", "0642572011120")</f>
        <v>0</v>
      </c>
      <c r="B226" t="s">
        <v>44</v>
      </c>
      <c r="C226" t="s">
        <v>181</v>
      </c>
      <c r="D226" t="s">
        <v>182</v>
      </c>
      <c r="E226" t="s">
        <v>162</v>
      </c>
      <c r="F226" t="s">
        <v>183</v>
      </c>
      <c r="G226" t="b">
        <v>0</v>
      </c>
    </row>
    <row r="227" spans="1:7">
      <c r="A227">
        <f>HYPERLINK("https://learning.oreilly.com/live-events/certified-ethical-hacker-ceh-bootcamp/0636920057916/0642572010941", "0642572010941")</f>
        <v>0</v>
      </c>
      <c r="B227" t="s">
        <v>184</v>
      </c>
      <c r="C227" t="s">
        <v>185</v>
      </c>
      <c r="D227" t="s">
        <v>186</v>
      </c>
      <c r="E227" t="s">
        <v>162</v>
      </c>
      <c r="F227" t="s">
        <v>187</v>
      </c>
      <c r="G227" t="b">
        <v>0</v>
      </c>
    </row>
    <row r="228" spans="1:7">
      <c r="A228">
        <f>HYPERLINK("https://learning.oreilly.com/live-events/story-mapping-for-agile-release-planning/0790145083050/0642572011808", "0642572011808")</f>
        <v>0</v>
      </c>
      <c r="B228" t="s">
        <v>188</v>
      </c>
      <c r="C228" t="s">
        <v>189</v>
      </c>
      <c r="D228" t="s">
        <v>190</v>
      </c>
      <c r="E228" t="s">
        <v>162</v>
      </c>
      <c r="F228" t="s">
        <v>191</v>
      </c>
      <c r="G228" t="b">
        <v>0</v>
      </c>
    </row>
    <row r="229" spans="1:7">
      <c r="A229">
        <f>HYPERLINK("https://learning.oreilly.com/live-events/hands-on-practical-docker/0636920201922/0642572012627", "0642572012627")</f>
        <v>0</v>
      </c>
      <c r="B229" t="s">
        <v>192</v>
      </c>
      <c r="C229" t="s">
        <v>193</v>
      </c>
      <c r="D229" t="s">
        <v>194</v>
      </c>
      <c r="E229" t="s">
        <v>162</v>
      </c>
      <c r="F229" t="s">
        <v>195</v>
      </c>
      <c r="G229" t="b">
        <v>0</v>
      </c>
    </row>
    <row r="230" spans="1:7">
      <c r="A230">
        <f>HYPERLINK("https://learning.oreilly.com/live-events/introduction-to-the-go-programming-language/0636920273189/0642572012643", "0642572012643")</f>
        <v>0</v>
      </c>
      <c r="B230" t="s">
        <v>196</v>
      </c>
      <c r="C230" t="s">
        <v>197</v>
      </c>
      <c r="D230" t="s">
        <v>198</v>
      </c>
      <c r="E230" t="s">
        <v>162</v>
      </c>
      <c r="F230" t="s">
        <v>199</v>
      </c>
      <c r="G230" t="b">
        <v>0</v>
      </c>
    </row>
    <row r="231" spans="1:7">
      <c r="A231">
        <f>HYPERLINK("https://learning.oreilly.com/live-events/using-github-copilot-chat/0636920099721/0642572012251", "0642572012251")</f>
        <v>0</v>
      </c>
      <c r="B231" t="s">
        <v>200</v>
      </c>
      <c r="C231" t="s">
        <v>201</v>
      </c>
      <c r="D231" t="s">
        <v>202</v>
      </c>
      <c r="E231" t="s">
        <v>162</v>
      </c>
      <c r="F231" t="s">
        <v>203</v>
      </c>
      <c r="G231" t="b">
        <v>0</v>
      </c>
    </row>
    <row r="232" spans="1:7">
      <c r="A232">
        <f>HYPERLINK("https://learning.oreilly.com/live-events/git-clinic/0790145080000/0642572011918", "0642572011918")</f>
        <v>0</v>
      </c>
      <c r="B232" t="s">
        <v>104</v>
      </c>
      <c r="C232" t="s">
        <v>204</v>
      </c>
      <c r="D232" t="s">
        <v>205</v>
      </c>
      <c r="E232" t="s">
        <v>162</v>
      </c>
      <c r="F232" t="s">
        <v>206</v>
      </c>
      <c r="G232" t="b">
        <v>0</v>
      </c>
    </row>
    <row r="233" spans="1:7">
      <c r="A233">
        <f>HYPERLINK("https://learning.oreilly.com/live-events/fundamentals-of-event-driven-microservices/0636920410980/0642572012756", "0642572012756")</f>
        <v>0</v>
      </c>
      <c r="B233" t="s">
        <v>207</v>
      </c>
      <c r="C233" t="s">
        <v>208</v>
      </c>
      <c r="D233" t="s">
        <v>209</v>
      </c>
      <c r="E233" t="s">
        <v>210</v>
      </c>
      <c r="F233" t="s">
        <v>211</v>
      </c>
      <c r="G233" t="b">
        <v>0</v>
      </c>
    </row>
    <row r="234" spans="1:7">
      <c r="A234">
        <f>HYPERLINK("https://learning.oreilly.com/live-events/deep-learning-for-beginners-in-3-weeks/0636920079316/0642572011220", "0642572011220")</f>
        <v>0</v>
      </c>
      <c r="B234" t="s">
        <v>212</v>
      </c>
      <c r="C234" t="s">
        <v>213</v>
      </c>
      <c r="D234" t="s">
        <v>214</v>
      </c>
      <c r="E234" t="s">
        <v>210</v>
      </c>
      <c r="F234" t="s">
        <v>215</v>
      </c>
      <c r="G234" t="b">
        <v>0</v>
      </c>
    </row>
    <row r="235" spans="1:7">
      <c r="A235">
        <f>HYPERLINK("https://learning.oreilly.com/live-events/building-enterprise-apps-with-react/0636920064014/0642572011752", "0642572011752")</f>
        <v>0</v>
      </c>
      <c r="B235" t="s">
        <v>216</v>
      </c>
      <c r="C235" t="s">
        <v>217</v>
      </c>
      <c r="D235" t="s">
        <v>218</v>
      </c>
      <c r="E235" t="s">
        <v>210</v>
      </c>
      <c r="F235" t="s">
        <v>144</v>
      </c>
      <c r="G235" t="b">
        <v>0</v>
      </c>
    </row>
    <row r="236" spans="1:7">
      <c r="A236">
        <f>HYPERLINK("https://learning.oreilly.com/live-events/chatgpt-to-improve-your-writing/0636920097362/0642572009079", "0642572009079")</f>
        <v>0</v>
      </c>
      <c r="B236" t="s">
        <v>81</v>
      </c>
      <c r="C236" t="s">
        <v>219</v>
      </c>
      <c r="D236" t="s">
        <v>220</v>
      </c>
      <c r="E236" t="s">
        <v>210</v>
      </c>
      <c r="F236" t="s">
        <v>27</v>
      </c>
      <c r="G236" t="b">
        <v>0</v>
      </c>
    </row>
    <row r="237" spans="1:7">
      <c r="A237">
        <f>HYPERLINK("https://learning.oreilly.com/live-events/generative-ai-apis/0642572011171/0642572011170", "0642572011170")</f>
        <v>0</v>
      </c>
      <c r="B237" t="s">
        <v>221</v>
      </c>
      <c r="C237" t="s">
        <v>222</v>
      </c>
      <c r="D237" t="s">
        <v>223</v>
      </c>
      <c r="E237" t="s">
        <v>210</v>
      </c>
      <c r="F237" t="s">
        <v>224</v>
      </c>
      <c r="G237" t="b">
        <v>0</v>
      </c>
    </row>
    <row r="238" spans="1:7">
      <c r="A238">
        <f>HYPERLINK("https://learning.oreilly.com/live-events/6-rules-for-communicating-with-management/0636920080772/0642572011297", "0642572011297")</f>
        <v>0</v>
      </c>
      <c r="B238" t="s">
        <v>225</v>
      </c>
      <c r="C238" t="s">
        <v>226</v>
      </c>
      <c r="D238" t="s">
        <v>227</v>
      </c>
      <c r="E238" t="s">
        <v>210</v>
      </c>
      <c r="F238" t="s">
        <v>228</v>
      </c>
      <c r="G238" t="b">
        <v>0</v>
      </c>
    </row>
    <row r="239" spans="1:7">
      <c r="A239">
        <f>HYPERLINK("https://learning.oreilly.com/live-events/product-thinking-for-engineers/0642572000318/0642572011126", "0642572011126")</f>
        <v>0</v>
      </c>
      <c r="B239" t="s">
        <v>229</v>
      </c>
      <c r="C239" t="s">
        <v>230</v>
      </c>
      <c r="D239" t="s">
        <v>231</v>
      </c>
      <c r="E239" t="s">
        <v>210</v>
      </c>
      <c r="F239" t="s">
        <v>232</v>
      </c>
      <c r="G239" t="b">
        <v>0</v>
      </c>
    </row>
    <row r="240" spans="1:7">
      <c r="A240">
        <f>HYPERLINK("https://learning.oreilly.com/live-events/tech-leadership-tuesday-with-anjuan-simmons-navigating-the-benefits-and-risks-of-adopting-generative-ai-with-nathen-harvey/0642572013368/0642572013367", "0642572013367")</f>
        <v>0</v>
      </c>
      <c r="B240" t="s">
        <v>233</v>
      </c>
      <c r="C240" t="s">
        <v>234</v>
      </c>
      <c r="D240" t="s">
        <v>235</v>
      </c>
      <c r="E240" t="s">
        <v>210</v>
      </c>
      <c r="F240" t="s">
        <v>236</v>
      </c>
      <c r="G240" t="b">
        <v>0</v>
      </c>
    </row>
    <row r="241" spans="1:7">
      <c r="A241">
        <f>HYPERLINK("https://learning.oreilly.com/live-events/network-troubleshooting-with-generative-ai/0642572011640/0642572011639", "0642572011639")</f>
        <v>0</v>
      </c>
      <c r="B241" t="s">
        <v>237</v>
      </c>
      <c r="C241" t="s">
        <v>238</v>
      </c>
      <c r="D241" t="s">
        <v>239</v>
      </c>
      <c r="E241" t="s">
        <v>210</v>
      </c>
      <c r="F241" t="s">
        <v>240</v>
      </c>
      <c r="G241" t="b">
        <v>0</v>
      </c>
    </row>
    <row r="242" spans="1:7">
      <c r="A242">
        <f>HYPERLINK("https://learning.oreilly.com/live-events/how-llms-work/0790145066962/0642572010485", "0642572010485")</f>
        <v>0</v>
      </c>
      <c r="B242" t="s">
        <v>241</v>
      </c>
      <c r="C242" t="s">
        <v>242</v>
      </c>
      <c r="D242" t="s">
        <v>243</v>
      </c>
      <c r="E242" t="s">
        <v>210</v>
      </c>
      <c r="F242" t="s">
        <v>244</v>
      </c>
      <c r="G242" t="b">
        <v>0</v>
      </c>
    </row>
    <row r="243" spans="1:7">
      <c r="A243">
        <f>HYPERLINK("https://learning.oreilly.com/live-events/exam-az-104-microsoft-azure-administrator-crash-course/0636920094475/0642572011711", "0642572011711")</f>
        <v>0</v>
      </c>
      <c r="B243" t="s">
        <v>245</v>
      </c>
      <c r="C243" t="s">
        <v>246</v>
      </c>
      <c r="E243" t="s">
        <v>210</v>
      </c>
      <c r="F243" t="s">
        <v>247</v>
      </c>
      <c r="G243" t="b">
        <v>0</v>
      </c>
    </row>
    <row r="244" spans="1:7">
      <c r="A244">
        <f>HYPERLINK("https://learning.oreilly.com/live-events/machine-learning-engineer-associate-mla-c01-bootcamp/0642572010717/0642572010716", "0642572010716")</f>
        <v>0</v>
      </c>
      <c r="B244" t="s">
        <v>248</v>
      </c>
      <c r="C244" t="s">
        <v>249</v>
      </c>
      <c r="D244" t="s">
        <v>250</v>
      </c>
      <c r="E244" t="s">
        <v>251</v>
      </c>
      <c r="F244" t="s">
        <v>252</v>
      </c>
      <c r="G244" t="b">
        <v>0</v>
      </c>
    </row>
    <row r="245" spans="1:7">
      <c r="A245">
        <f>HYPERLINK("https://learning.oreilly.com/live-events/mastering-creative-and-critical-thinking/0636920078192/0642572011182", "0642572011182")</f>
        <v>0</v>
      </c>
      <c r="B245" t="s">
        <v>40</v>
      </c>
      <c r="C245" t="s">
        <v>253</v>
      </c>
      <c r="D245" t="s">
        <v>254</v>
      </c>
      <c r="E245" t="s">
        <v>251</v>
      </c>
      <c r="F245" t="s">
        <v>255</v>
      </c>
      <c r="G245" t="b">
        <v>0</v>
      </c>
    </row>
    <row r="246" spans="1:7">
      <c r="A246">
        <f>HYPERLINK("https://learning.oreilly.com/live-events/data-engineering-fundamentals-in-2-weeks/0642572005799/0642572011237", "0642572011237")</f>
        <v>0</v>
      </c>
      <c r="B246" t="s">
        <v>256</v>
      </c>
      <c r="C246" t="s">
        <v>257</v>
      </c>
      <c r="D246" t="s">
        <v>258</v>
      </c>
      <c r="E246" t="s">
        <v>251</v>
      </c>
      <c r="F246" t="s">
        <v>215</v>
      </c>
      <c r="G246" t="b">
        <v>0</v>
      </c>
    </row>
    <row r="247" spans="1:7">
      <c r="A247">
        <f>HYPERLINK("https://learning.oreilly.com/live-events/generative-ai-for-excel/0642572001381/0642572009817", "0642572009817")</f>
        <v>0</v>
      </c>
      <c r="B247" t="s">
        <v>259</v>
      </c>
      <c r="C247" t="s">
        <v>260</v>
      </c>
      <c r="D247" t="s">
        <v>261</v>
      </c>
      <c r="E247" t="s">
        <v>251</v>
      </c>
      <c r="F247" t="s">
        <v>262</v>
      </c>
      <c r="G247" t="b">
        <v>0</v>
      </c>
    </row>
    <row r="248" spans="1:7">
      <c r="A248">
        <f>HYPERLINK("https://learning.oreilly.com/live-events/chatgpt-for-data-analytics/0636920094217/0642572009706", "0642572009706")</f>
        <v>0</v>
      </c>
      <c r="B248" t="s">
        <v>81</v>
      </c>
      <c r="C248" t="s">
        <v>263</v>
      </c>
      <c r="D248" t="s">
        <v>264</v>
      </c>
      <c r="E248" t="s">
        <v>251</v>
      </c>
      <c r="F248" t="s">
        <v>265</v>
      </c>
      <c r="G248" t="b">
        <v>0</v>
      </c>
    </row>
    <row r="249" spans="1:7">
      <c r="A249">
        <f>HYPERLINK("https://learning.oreilly.com/live-events/aws-technical-essentials/0636920192039/0642572011053", "0642572011053")</f>
        <v>0</v>
      </c>
      <c r="B249" t="s">
        <v>266</v>
      </c>
      <c r="C249" t="s">
        <v>267</v>
      </c>
      <c r="D249" t="s">
        <v>268</v>
      </c>
      <c r="E249" t="s">
        <v>251</v>
      </c>
      <c r="F249" t="s">
        <v>269</v>
      </c>
      <c r="G249" t="b">
        <v>0</v>
      </c>
    </row>
    <row r="250" spans="1:7">
      <c r="A250">
        <f>HYPERLINK("https://learning.oreilly.com/live-events/getting-started-with-autogen/0790145047089/0642572010893", "0642572010893")</f>
        <v>0</v>
      </c>
      <c r="B250" t="s">
        <v>241</v>
      </c>
      <c r="C250" t="s">
        <v>270</v>
      </c>
      <c r="D250" t="s">
        <v>271</v>
      </c>
      <c r="E250" t="s">
        <v>251</v>
      </c>
      <c r="F250" t="s">
        <v>84</v>
      </c>
      <c r="G250" t="b">
        <v>0</v>
      </c>
    </row>
    <row r="251" spans="1:7">
      <c r="A251">
        <f>HYPERLINK("https://learning.oreilly.com/live-events/comptia-security-certification-sy0-701-bootcamp/0790145080680/0642572010925", "0642572010925")</f>
        <v>0</v>
      </c>
      <c r="B251" t="s">
        <v>272</v>
      </c>
      <c r="C251" t="s">
        <v>273</v>
      </c>
      <c r="D251" t="s">
        <v>274</v>
      </c>
      <c r="E251" t="s">
        <v>251</v>
      </c>
      <c r="F251" t="s">
        <v>187</v>
      </c>
      <c r="G251" t="b">
        <v>0</v>
      </c>
    </row>
    <row r="252" spans="1:7">
      <c r="A252">
        <f>HYPERLINK("https://learning.oreilly.com/live-events/prompting-copilot-and-chatgpt-for-code/0642572004454/0642572012160", "0642572012160")</f>
        <v>0</v>
      </c>
      <c r="B252" t="s">
        <v>81</v>
      </c>
      <c r="C252" t="s">
        <v>275</v>
      </c>
      <c r="D252" t="s">
        <v>276</v>
      </c>
      <c r="E252" t="s">
        <v>251</v>
      </c>
      <c r="F252" t="s">
        <v>277</v>
      </c>
      <c r="G252" t="b">
        <v>0</v>
      </c>
    </row>
    <row r="253" spans="1:7">
      <c r="A253">
        <f>HYPERLINK("https://learning.oreilly.com/live-events/network-protocols-in-security-operations/0642572011400/0642572011399", "0642572011399")</f>
        <v>0</v>
      </c>
      <c r="B253" t="s">
        <v>278</v>
      </c>
      <c r="C253" t="s">
        <v>279</v>
      </c>
      <c r="D253" t="s">
        <v>280</v>
      </c>
      <c r="E253" t="s">
        <v>251</v>
      </c>
      <c r="F253" t="s">
        <v>281</v>
      </c>
      <c r="G253" t="b">
        <v>0</v>
      </c>
    </row>
    <row r="254" spans="1:7">
      <c r="A254">
        <f>HYPERLINK("https://learning.oreilly.com/live-events/generative-ai-for-leaders-and-managers/0642572010775/0642572010774", "0642572010774")</f>
        <v>0</v>
      </c>
      <c r="B254" t="s">
        <v>237</v>
      </c>
      <c r="C254" t="s">
        <v>282</v>
      </c>
      <c r="D254" t="s">
        <v>283</v>
      </c>
      <c r="E254" t="s">
        <v>251</v>
      </c>
      <c r="F254" t="s">
        <v>284</v>
      </c>
      <c r="G254" t="b">
        <v>0</v>
      </c>
    </row>
    <row r="255" spans="1:7">
      <c r="A255">
        <f>HYPERLINK("https://learning.oreilly.com/live-events/langchain-for-generative-ai-pipelines/0642572002267/0642572011814", "0642572011814")</f>
        <v>0</v>
      </c>
      <c r="B255" t="s">
        <v>285</v>
      </c>
      <c r="C255" t="s">
        <v>286</v>
      </c>
      <c r="D255" t="s">
        <v>287</v>
      </c>
      <c r="E255" t="s">
        <v>251</v>
      </c>
      <c r="F255" t="s">
        <v>288</v>
      </c>
      <c r="G255" t="b">
        <v>0</v>
      </c>
    </row>
    <row r="256" spans="1:7">
      <c r="A256">
        <f>HYPERLINK("https://learning.oreilly.com/live-events/kubernetes-networking-in-4-hours/0642572000164/0642572011488", "0642572011488")</f>
        <v>0</v>
      </c>
      <c r="B256" t="s">
        <v>100</v>
      </c>
      <c r="C256" t="s">
        <v>289</v>
      </c>
      <c r="D256" t="s">
        <v>290</v>
      </c>
      <c r="E256" t="s">
        <v>291</v>
      </c>
      <c r="F256" t="s">
        <v>103</v>
      </c>
      <c r="G256" t="b">
        <v>0</v>
      </c>
    </row>
    <row r="257" spans="1:7">
      <c r="A257">
        <f>HYPERLINK("https://learning.oreilly.com/live-events/aws-certified-security-specialty-scs-c02-crash-course/0636920094076/0642572011725", "0642572011725")</f>
        <v>0</v>
      </c>
      <c r="B257" t="s">
        <v>292</v>
      </c>
      <c r="C257" t="s">
        <v>293</v>
      </c>
      <c r="D257" t="s">
        <v>294</v>
      </c>
      <c r="E257" t="s">
        <v>291</v>
      </c>
      <c r="F257" t="s">
        <v>63</v>
      </c>
      <c r="G257" t="b">
        <v>0</v>
      </c>
    </row>
    <row r="258" spans="1:7">
      <c r="A258">
        <f>HYPERLINK("https://learning.oreilly.com/live-events/microsoft-certified-azure-data-scientist-associate-dp-100-crash-course/0642572009727/0642572009726", "0642572009726")</f>
        <v>0</v>
      </c>
      <c r="B258" t="s">
        <v>295</v>
      </c>
      <c r="C258" t="s">
        <v>296</v>
      </c>
      <c r="D258" t="s">
        <v>297</v>
      </c>
      <c r="E258" t="s">
        <v>291</v>
      </c>
      <c r="F258" t="s">
        <v>298</v>
      </c>
      <c r="G258" t="b">
        <v>0</v>
      </c>
    </row>
    <row r="259" spans="1:7">
      <c r="A259">
        <f>HYPERLINK("https://learning.oreilly.com/live-events/modern-data-engineering-essentials/0642572011373/0642572011372", "0642572011372")</f>
        <v>0</v>
      </c>
      <c r="B259" t="s">
        <v>256</v>
      </c>
      <c r="C259" t="s">
        <v>299</v>
      </c>
      <c r="D259" t="s">
        <v>300</v>
      </c>
      <c r="E259" t="s">
        <v>291</v>
      </c>
      <c r="F259" t="s">
        <v>301</v>
      </c>
      <c r="G259" t="b">
        <v>0</v>
      </c>
    </row>
    <row r="260" spans="1:7">
      <c r="A260">
        <f>HYPERLINK("https://learning.oreilly.com/live-events/data-literacy-bootcamp/0636920083423/0642572012272", "0642572012272")</f>
        <v>0</v>
      </c>
      <c r="B260" t="s">
        <v>256</v>
      </c>
      <c r="C260" t="s">
        <v>302</v>
      </c>
      <c r="D260" t="s">
        <v>303</v>
      </c>
      <c r="E260" t="s">
        <v>291</v>
      </c>
      <c r="F260" t="s">
        <v>304</v>
      </c>
      <c r="G260" t="b">
        <v>0</v>
      </c>
    </row>
    <row r="261" spans="1:7">
      <c r="A261">
        <f>HYPERLINK("https://learning.oreilly.com/live-events/pmp-certification-crash-course/0636920064165/0642572011739", "0642572011739")</f>
        <v>0</v>
      </c>
      <c r="B261" t="s">
        <v>305</v>
      </c>
      <c r="C261" t="s">
        <v>306</v>
      </c>
      <c r="D261" t="s">
        <v>307</v>
      </c>
      <c r="E261" t="s">
        <v>291</v>
      </c>
      <c r="F261" t="s">
        <v>308</v>
      </c>
      <c r="G261" t="b">
        <v>0</v>
      </c>
    </row>
    <row r="262" spans="1:7">
      <c r="A262">
        <f>HYPERLINK("https://learning.oreilly.com/live-events/rhcsa-ex200-exam-prep-crash-course/0642572003391/0642572011946", "0642572011946")</f>
        <v>0</v>
      </c>
      <c r="B262" t="s">
        <v>172</v>
      </c>
      <c r="C262" t="s">
        <v>309</v>
      </c>
      <c r="D262" t="s">
        <v>310</v>
      </c>
      <c r="E262" t="s">
        <v>291</v>
      </c>
      <c r="F262" t="s">
        <v>311</v>
      </c>
      <c r="G262" t="b">
        <v>0</v>
      </c>
    </row>
    <row r="263" spans="1:7">
      <c r="A263">
        <f>HYPERLINK("https://learning.oreilly.com/live-events/hands-on-retrieval-augmented-generation-rag/0790145074140/0642572011563", "0642572011563")</f>
        <v>0</v>
      </c>
      <c r="B263" t="s">
        <v>241</v>
      </c>
      <c r="C263" t="s">
        <v>312</v>
      </c>
      <c r="D263" t="s">
        <v>313</v>
      </c>
      <c r="E263" t="s">
        <v>291</v>
      </c>
      <c r="F263" t="s">
        <v>314</v>
      </c>
      <c r="G263" t="b">
        <v>0</v>
      </c>
    </row>
    <row r="264" spans="1:7">
      <c r="A264">
        <f>HYPERLINK("https://learning.oreilly.com/live-events/chatgpt-and-github-copilot-in-4-hours/0636920090248/0642572011707", "0642572011707")</f>
        <v>0</v>
      </c>
      <c r="B264" t="s">
        <v>81</v>
      </c>
      <c r="C264" t="s">
        <v>315</v>
      </c>
      <c r="D264" t="s">
        <v>316</v>
      </c>
      <c r="E264" t="s">
        <v>291</v>
      </c>
      <c r="F264" t="s">
        <v>247</v>
      </c>
      <c r="G264" t="b">
        <v>0</v>
      </c>
    </row>
    <row r="265" spans="1:7">
      <c r="A265">
        <f>HYPERLINK("https://learning.oreilly.com/live-events/introduction-to-algorithms-and-data-structureswith-interactivity/0636920306542/0642572011914", "0642572011914")</f>
        <v>0</v>
      </c>
      <c r="B265" t="s">
        <v>44</v>
      </c>
      <c r="C265" t="s">
        <v>317</v>
      </c>
      <c r="D265" t="s">
        <v>318</v>
      </c>
      <c r="E265" t="s">
        <v>291</v>
      </c>
      <c r="F265" t="s">
        <v>319</v>
      </c>
      <c r="G265" t="b">
        <v>0</v>
      </c>
    </row>
    <row r="266" spans="1:7">
      <c r="A266">
        <f>HYPERLINK("https://learning.oreilly.com/live-events/genai-and-llms-for-product-managers/0636920099564/0642572009535", "0642572009535")</f>
        <v>0</v>
      </c>
      <c r="B266" t="s">
        <v>320</v>
      </c>
      <c r="C266" t="s">
        <v>321</v>
      </c>
      <c r="D266" t="s">
        <v>322</v>
      </c>
      <c r="E266" t="s">
        <v>291</v>
      </c>
      <c r="F266" t="s">
        <v>323</v>
      </c>
      <c r="G266" t="b">
        <v>0</v>
      </c>
    </row>
    <row r="267" spans="1:7">
      <c r="A267">
        <f>HYPERLINK("https://learning.oreilly.com/live-events/llms-on-microsoft-azure/0790145056568/0642572011902", "0642572011902")</f>
        <v>0</v>
      </c>
      <c r="B267" t="s">
        <v>295</v>
      </c>
      <c r="C267" t="s">
        <v>324</v>
      </c>
      <c r="D267" t="s">
        <v>325</v>
      </c>
      <c r="E267" t="s">
        <v>291</v>
      </c>
      <c r="F267" t="s">
        <v>326</v>
      </c>
      <c r="G267" t="b">
        <v>0</v>
      </c>
    </row>
    <row r="268" spans="1:7">
      <c r="A268">
        <f>HYPERLINK("https://learning.oreilly.com/live-events/github-actions-in-4-hours/0636920078758/0642572011772", "0642572011772")</f>
        <v>0</v>
      </c>
      <c r="B268" t="s">
        <v>327</v>
      </c>
      <c r="C268" t="s">
        <v>328</v>
      </c>
      <c r="D268" t="s">
        <v>329</v>
      </c>
      <c r="E268" t="s">
        <v>330</v>
      </c>
      <c r="F268" t="s">
        <v>331</v>
      </c>
      <c r="G268" t="b">
        <v>0</v>
      </c>
    </row>
    <row r="269" spans="1:7">
      <c r="A269">
        <f>HYPERLINK("https://learning.oreilly.com/live-events/ansible-in-4-hours/0636920123842/0642572011756", "0642572011756")</f>
        <v>0</v>
      </c>
      <c r="B269" t="s">
        <v>28</v>
      </c>
      <c r="C269" t="s">
        <v>332</v>
      </c>
      <c r="D269" t="s">
        <v>333</v>
      </c>
      <c r="E269" t="s">
        <v>330</v>
      </c>
      <c r="F269" t="s">
        <v>31</v>
      </c>
      <c r="G269" t="b">
        <v>0</v>
      </c>
    </row>
    <row r="270" spans="1:7">
      <c r="A270">
        <f>HYPERLINK("https://learning.oreilly.com/live-events/essential-product-management-skills/0636920075808/0642572011799", "0642572011799")</f>
        <v>0</v>
      </c>
      <c r="B270" t="s">
        <v>334</v>
      </c>
      <c r="C270" t="s">
        <v>335</v>
      </c>
      <c r="D270" t="s">
        <v>336</v>
      </c>
      <c r="E270" t="s">
        <v>330</v>
      </c>
      <c r="F270" t="s">
        <v>337</v>
      </c>
      <c r="G270" t="b">
        <v>0</v>
      </c>
    </row>
    <row r="271" spans="1:7">
      <c r="A271">
        <f>HYPERLINK("https://learning.oreilly.com/live-events/software-design-with-unit-tests/0636920092311/0642572011095", "0642572011095")</f>
        <v>0</v>
      </c>
      <c r="B271" t="s">
        <v>338</v>
      </c>
      <c r="C271" t="s">
        <v>339</v>
      </c>
      <c r="D271" t="s">
        <v>340</v>
      </c>
      <c r="E271" t="s">
        <v>341</v>
      </c>
      <c r="F271" t="s">
        <v>342</v>
      </c>
      <c r="G271" t="b">
        <v>0</v>
      </c>
    </row>
    <row r="272" spans="1:7">
      <c r="A272">
        <f>HYPERLINK("https://learning.oreilly.com/live-events/aws-ai-practitioner-certification-aif-c01-crash-course/0642572010715/0642572010714", "0642572010714")</f>
        <v>0</v>
      </c>
      <c r="B272" t="s">
        <v>343</v>
      </c>
      <c r="C272" t="s">
        <v>344</v>
      </c>
      <c r="D272" t="s">
        <v>345</v>
      </c>
      <c r="E272" t="s">
        <v>341</v>
      </c>
      <c r="F272" t="s">
        <v>252</v>
      </c>
      <c r="G272" t="b">
        <v>0</v>
      </c>
    </row>
    <row r="273" spans="1:7">
      <c r="A273">
        <f>HYPERLINK("https://learning.oreilly.com/live-events/architecture-fitness-functions-by-example/0642572007901/0642572007900", "0642572007900")</f>
        <v>0</v>
      </c>
      <c r="B273" t="s">
        <v>346</v>
      </c>
      <c r="C273" t="s">
        <v>347</v>
      </c>
      <c r="D273" t="s">
        <v>348</v>
      </c>
      <c r="E273" t="s">
        <v>341</v>
      </c>
      <c r="F273" t="s">
        <v>349</v>
      </c>
      <c r="G273" t="b">
        <v>0</v>
      </c>
    </row>
    <row r="274" spans="1:7">
      <c r="A274">
        <f>HYPERLINK("https://learning.oreilly.com/live-events/chatgpt-prompt-engineering-cookbook/0636920099586/0642572011173", "0642572011173")</f>
        <v>0</v>
      </c>
      <c r="B274" t="s">
        <v>68</v>
      </c>
      <c r="C274" t="s">
        <v>350</v>
      </c>
      <c r="D274" t="s">
        <v>351</v>
      </c>
      <c r="E274" t="s">
        <v>341</v>
      </c>
      <c r="F274" t="s">
        <v>224</v>
      </c>
      <c r="G274" t="b">
        <v>0</v>
      </c>
    </row>
    <row r="275" spans="1:7">
      <c r="A275">
        <f>HYPERLINK("https://learning.oreilly.com/live-events/cissp-certification-crash-course-2024-edition/0642572000111/0642572010873", "0642572010873")</f>
        <v>0</v>
      </c>
      <c r="B275" t="s">
        <v>352</v>
      </c>
      <c r="C275" t="s">
        <v>353</v>
      </c>
      <c r="D275" t="s">
        <v>354</v>
      </c>
      <c r="E275" t="s">
        <v>341</v>
      </c>
      <c r="F275" t="s">
        <v>355</v>
      </c>
      <c r="G275" t="b">
        <v>0</v>
      </c>
    </row>
    <row r="276" spans="1:7">
      <c r="A276">
        <f>HYPERLINK("https://learning.oreilly.com/live-events/software-architecture-superstream-software-architecture-in-the-age-of-ai/0642572012444/0642572012443", "0642572012443")</f>
        <v>0</v>
      </c>
      <c r="B276" t="s">
        <v>12</v>
      </c>
      <c r="C276" t="s">
        <v>356</v>
      </c>
      <c r="D276" t="s">
        <v>357</v>
      </c>
      <c r="E276" t="s">
        <v>341</v>
      </c>
      <c r="F276" t="s">
        <v>349</v>
      </c>
      <c r="G276" t="b">
        <v>0</v>
      </c>
    </row>
    <row r="277" spans="1:7">
      <c r="A277">
        <f>HYPERLINK("https://learning.oreilly.com/live-events/fundamentals-of-collaboration/0636920094085/0642572012023", "0642572012023")</f>
        <v>0</v>
      </c>
      <c r="B277" t="s">
        <v>358</v>
      </c>
      <c r="C277" t="s">
        <v>359</v>
      </c>
      <c r="D277" t="s">
        <v>360</v>
      </c>
      <c r="E277" t="s">
        <v>341</v>
      </c>
      <c r="F277" t="s">
        <v>50</v>
      </c>
      <c r="G277" t="b">
        <v>0</v>
      </c>
    </row>
    <row r="278" spans="1:7">
      <c r="A278">
        <f>HYPERLINK("https://learning.oreilly.com/live-events/the-power-of-storytelling/0636920091765/0642572011177", "0642572011177")</f>
        <v>0</v>
      </c>
      <c r="B278" t="s">
        <v>361</v>
      </c>
      <c r="C278" t="s">
        <v>362</v>
      </c>
      <c r="D278" t="s">
        <v>363</v>
      </c>
      <c r="E278" t="s">
        <v>341</v>
      </c>
      <c r="F278" t="s">
        <v>364</v>
      </c>
      <c r="G278" t="b">
        <v>0</v>
      </c>
    </row>
    <row r="279" spans="1:7">
      <c r="A279">
        <f>HYPERLINK("https://learning.oreilly.com/live-events/ai-and-llm-cyber-risks-and-mitigation/0790145051051/0642572011898", "0642572011898")</f>
        <v>0</v>
      </c>
      <c r="B279" t="s">
        <v>68</v>
      </c>
      <c r="C279" t="s">
        <v>365</v>
      </c>
      <c r="D279" t="s">
        <v>366</v>
      </c>
      <c r="E279" t="s">
        <v>341</v>
      </c>
      <c r="F279" t="s">
        <v>140</v>
      </c>
      <c r="G279" t="b">
        <v>0</v>
      </c>
    </row>
    <row r="280" spans="1:7">
      <c r="A280">
        <f>HYPERLINK("https://learning.oreilly.com/live-events/patterns-for-building-resilient-microservices/0636920089763/0642572009614", "0642572009614")</f>
        <v>0</v>
      </c>
      <c r="B280" t="s">
        <v>17</v>
      </c>
      <c r="C280" t="s">
        <v>541</v>
      </c>
      <c r="D280" t="s">
        <v>542</v>
      </c>
      <c r="E280" t="s">
        <v>543</v>
      </c>
      <c r="F280" t="s">
        <v>20</v>
      </c>
      <c r="G280" t="b">
        <v>0</v>
      </c>
    </row>
    <row r="281" spans="1:7">
      <c r="A281">
        <f>HYPERLINK("https://learning.oreilly.com/live-events/gcp-professional-cloud-architect-crash-course/0636920076967/0642572011410", "0642572011410")</f>
        <v>0</v>
      </c>
      <c r="B281" t="s">
        <v>544</v>
      </c>
      <c r="C281" t="s">
        <v>545</v>
      </c>
      <c r="D281" t="s">
        <v>546</v>
      </c>
      <c r="E281" t="s">
        <v>543</v>
      </c>
      <c r="F281" t="s">
        <v>547</v>
      </c>
      <c r="G281" t="b">
        <v>0</v>
      </c>
    </row>
    <row r="282" spans="1:7">
      <c r="A282">
        <f>HYPERLINK("https://learning.oreilly.com/live-events/chatgpt-for-project-management/0790145085649/0642572009100", "0642572009100")</f>
        <v>0</v>
      </c>
      <c r="B282" t="s">
        <v>32</v>
      </c>
      <c r="C282" t="s">
        <v>495</v>
      </c>
      <c r="D282" t="s">
        <v>496</v>
      </c>
      <c r="E282" t="s">
        <v>543</v>
      </c>
      <c r="F282" t="s">
        <v>27</v>
      </c>
      <c r="G282" t="b">
        <v>0</v>
      </c>
    </row>
    <row r="283" spans="1:7">
      <c r="A283">
        <f>HYPERLINK("https://learning.oreilly.com/live-events/ccna-200-301-v11-crash-course/0642572005976/0642572011388", "0642572011388")</f>
        <v>0</v>
      </c>
      <c r="B283" t="s">
        <v>548</v>
      </c>
      <c r="C283" t="s">
        <v>549</v>
      </c>
      <c r="D283" t="s">
        <v>550</v>
      </c>
      <c r="E283" t="s">
        <v>543</v>
      </c>
      <c r="F283" t="s">
        <v>551</v>
      </c>
      <c r="G283" t="b">
        <v>0</v>
      </c>
    </row>
    <row r="284" spans="1:7">
      <c r="A284">
        <f>HYPERLINK("https://learning.oreilly.com/live-events/intermediate-python-classes/0636920455325/0642572011863", "0642572011863")</f>
        <v>0</v>
      </c>
      <c r="B284" t="s">
        <v>44</v>
      </c>
      <c r="C284" t="s">
        <v>552</v>
      </c>
      <c r="D284" t="s">
        <v>553</v>
      </c>
      <c r="E284" t="s">
        <v>543</v>
      </c>
      <c r="F284" t="s">
        <v>554</v>
      </c>
      <c r="G284" t="b">
        <v>0</v>
      </c>
    </row>
    <row r="285" spans="1:7">
      <c r="A285">
        <f>HYPERLINK("https://learning.oreilly.com/live-events/kubernetes-in-4-hours/0636920056367/0642572011985", "0642572011985")</f>
        <v>0</v>
      </c>
      <c r="B285" t="s">
        <v>100</v>
      </c>
      <c r="C285" t="s">
        <v>555</v>
      </c>
      <c r="D285" t="s">
        <v>556</v>
      </c>
      <c r="E285" t="s">
        <v>543</v>
      </c>
      <c r="F285" t="s">
        <v>31</v>
      </c>
      <c r="G285" t="b">
        <v>0</v>
      </c>
    </row>
    <row r="286" spans="1:7">
      <c r="A286">
        <f>HYPERLINK("https://learning.oreilly.com/live-events/difficult-conversations-and-negotiations-made-easy/0636920084308/0642572011379", "0642572011379")</f>
        <v>0</v>
      </c>
      <c r="B286" t="s">
        <v>225</v>
      </c>
      <c r="C286" t="s">
        <v>557</v>
      </c>
      <c r="D286" t="s">
        <v>558</v>
      </c>
      <c r="E286" t="s">
        <v>543</v>
      </c>
      <c r="F286" t="s">
        <v>559</v>
      </c>
      <c r="G286" t="b">
        <v>0</v>
      </c>
    </row>
    <row r="287" spans="1:7">
      <c r="A287">
        <f>HYPERLINK("https://learning.oreilly.com/live-events/nlp-with-deep-learning-for-everyone/0636920507758/0642572011818", "0642572011818")</f>
        <v>0</v>
      </c>
      <c r="B287" t="s">
        <v>212</v>
      </c>
      <c r="C287" t="s">
        <v>560</v>
      </c>
      <c r="D287" t="s">
        <v>561</v>
      </c>
      <c r="E287" t="s">
        <v>543</v>
      </c>
      <c r="F287" t="s">
        <v>288</v>
      </c>
      <c r="G287" t="b">
        <v>0</v>
      </c>
    </row>
    <row r="288" spans="1:7">
      <c r="A288">
        <f>HYPERLINK("https://learning.oreilly.com/live-events/python-data-science-quick-start/0642572005027/0642572011206", "0642572011206")</f>
        <v>0</v>
      </c>
      <c r="B288" t="s">
        <v>44</v>
      </c>
      <c r="C288" t="s">
        <v>562</v>
      </c>
      <c r="D288" t="s">
        <v>563</v>
      </c>
      <c r="E288" t="s">
        <v>564</v>
      </c>
      <c r="F288" t="s">
        <v>144</v>
      </c>
      <c r="G288" t="b">
        <v>0</v>
      </c>
    </row>
    <row r="289" spans="1:7">
      <c r="A289">
        <f>HYPERLINK("https://learning.oreilly.com/live-events/generative-ai-for-cloud-practitioners/0642572001983/0642572011202", "0642572011202")</f>
        <v>0</v>
      </c>
      <c r="B289" t="s">
        <v>524</v>
      </c>
      <c r="C289" t="s">
        <v>565</v>
      </c>
      <c r="D289" t="s">
        <v>566</v>
      </c>
      <c r="E289" t="s">
        <v>564</v>
      </c>
      <c r="F289" t="s">
        <v>63</v>
      </c>
      <c r="G289" t="b">
        <v>0</v>
      </c>
    </row>
    <row r="290" spans="1:7">
      <c r="A290">
        <f>HYPERLINK("https://learning.oreilly.com/live-events/hands-on-prompt-engineering/0642572000313/0642572011462", "0642572011462")</f>
        <v>0</v>
      </c>
      <c r="B290" t="s">
        <v>68</v>
      </c>
      <c r="C290" t="s">
        <v>567</v>
      </c>
      <c r="D290" t="s">
        <v>568</v>
      </c>
      <c r="E290" t="s">
        <v>564</v>
      </c>
      <c r="F290" t="s">
        <v>67</v>
      </c>
      <c r="G290" t="b">
        <v>0</v>
      </c>
    </row>
    <row r="291" spans="1:7">
      <c r="A291">
        <f>HYPERLINK("https://learning.oreilly.com/live-events/docker-fundamentals-in-2-days/0790145081759/0642572010453", "0642572010453")</f>
        <v>0</v>
      </c>
      <c r="B291" t="s">
        <v>192</v>
      </c>
      <c r="C291" t="s">
        <v>569</v>
      </c>
      <c r="D291" t="s">
        <v>570</v>
      </c>
      <c r="E291" t="s">
        <v>564</v>
      </c>
      <c r="F291" t="s">
        <v>147</v>
      </c>
      <c r="G291" t="b">
        <v>0</v>
      </c>
    </row>
    <row r="292" spans="1:7">
      <c r="A292">
        <f>HYPERLINK("https://learning.oreilly.com/live-events/foundations-of-microsoft-excel/0636920059829/0642572009828", "0642572009828")</f>
        <v>0</v>
      </c>
      <c r="B292" t="s">
        <v>571</v>
      </c>
      <c r="C292" t="s">
        <v>572</v>
      </c>
      <c r="D292" t="s">
        <v>573</v>
      </c>
      <c r="E292" t="s">
        <v>564</v>
      </c>
      <c r="F292" t="s">
        <v>262</v>
      </c>
      <c r="G292" t="b">
        <v>0</v>
      </c>
    </row>
    <row r="293" spans="1:7">
      <c r="A293">
        <f>HYPERLINK("https://learning.oreilly.com/live-events/how-to-talk-about-data/0636920095665/0642572011828", "0642572011828")</f>
        <v>0</v>
      </c>
      <c r="B293" t="s">
        <v>574</v>
      </c>
      <c r="C293" t="s">
        <v>575</v>
      </c>
      <c r="D293" t="s">
        <v>576</v>
      </c>
      <c r="E293" t="s">
        <v>564</v>
      </c>
      <c r="F293" t="s">
        <v>577</v>
      </c>
      <c r="G293" t="b">
        <v>0</v>
      </c>
    </row>
    <row r="294" spans="1:7">
      <c r="A294">
        <f>HYPERLINK("https://learning.oreilly.com/live-events/object-oriented-programming-in-python/0636920338673/0642572011663", "0642572011663")</f>
        <v>0</v>
      </c>
      <c r="B294" t="s">
        <v>44</v>
      </c>
      <c r="C294" t="s">
        <v>578</v>
      </c>
      <c r="E294" t="s">
        <v>564</v>
      </c>
      <c r="F294" t="s">
        <v>47</v>
      </c>
      <c r="G294" t="b">
        <v>0</v>
      </c>
    </row>
    <row r="295" spans="1:7">
      <c r="A295">
        <f>HYPERLINK("https://learning.oreilly.com/live-events/containers-fundamentals/0642572002854/0642572009932", "0642572009932")</f>
        <v>0</v>
      </c>
      <c r="B295" t="s">
        <v>579</v>
      </c>
      <c r="C295" t="s">
        <v>580</v>
      </c>
      <c r="D295" t="s">
        <v>581</v>
      </c>
      <c r="E295" t="s">
        <v>564</v>
      </c>
      <c r="F295" t="s">
        <v>135</v>
      </c>
      <c r="G295" t="b">
        <v>0</v>
      </c>
    </row>
    <row r="296" spans="1:7">
      <c r="A296">
        <f>HYPERLINK("https://learning.oreilly.com/live-events/advanced-python-asynchronous-programming-with-async-and-await/0642572004549/0642572011656", "0642572011656")</f>
        <v>0</v>
      </c>
      <c r="B296" t="s">
        <v>44</v>
      </c>
      <c r="C296" t="s">
        <v>582</v>
      </c>
      <c r="E296" t="s">
        <v>583</v>
      </c>
      <c r="F296" t="s">
        <v>584</v>
      </c>
      <c r="G296" t="b">
        <v>0</v>
      </c>
    </row>
    <row r="297" spans="1:7">
      <c r="A297">
        <f>HYPERLINK("https://learning.oreilly.com/live-events/event-driven-architecture-and-data/0636920053458/0642572012748", "0642572012748")</f>
        <v>0</v>
      </c>
      <c r="B297" t="s">
        <v>12</v>
      </c>
      <c r="C297" t="s">
        <v>585</v>
      </c>
      <c r="D297" t="s">
        <v>586</v>
      </c>
      <c r="E297" t="s">
        <v>583</v>
      </c>
      <c r="F297" t="s">
        <v>211</v>
      </c>
      <c r="G297" t="b">
        <v>0</v>
      </c>
    </row>
    <row r="298" spans="1:7">
      <c r="A298">
        <f>HYPERLINK("https://learning.oreilly.com/live-events/react-in-4-hours/0636920436553/0642572011211", "0642572011211")</f>
        <v>0</v>
      </c>
      <c r="B298" t="s">
        <v>216</v>
      </c>
      <c r="C298" t="s">
        <v>587</v>
      </c>
      <c r="D298" t="s">
        <v>588</v>
      </c>
      <c r="E298" t="s">
        <v>583</v>
      </c>
      <c r="F298" t="s">
        <v>144</v>
      </c>
      <c r="G298" t="b">
        <v>0</v>
      </c>
    </row>
    <row r="299" spans="1:7">
      <c r="A299">
        <f>HYPERLINK("https://learning.oreilly.com/live-events/hands-on-llm-engineering/0642572011365/0642572011364", "0642572011364")</f>
        <v>0</v>
      </c>
      <c r="B299" t="s">
        <v>68</v>
      </c>
      <c r="C299" t="s">
        <v>589</v>
      </c>
      <c r="D299" t="s">
        <v>590</v>
      </c>
      <c r="E299" t="s">
        <v>583</v>
      </c>
      <c r="F299" t="s">
        <v>389</v>
      </c>
      <c r="G299" t="b">
        <v>0</v>
      </c>
    </row>
    <row r="300" spans="1:7">
      <c r="A300">
        <f>HYPERLINK("https://learning.oreilly.com/live-events/using-dax-in-microsoft-power-bi/0636920095718/0642572011784", "0642572011784")</f>
        <v>0</v>
      </c>
      <c r="B300" t="s">
        <v>21</v>
      </c>
      <c r="C300" t="s">
        <v>591</v>
      </c>
      <c r="D300" t="s">
        <v>592</v>
      </c>
      <c r="E300" t="s">
        <v>593</v>
      </c>
      <c r="F300" t="s">
        <v>594</v>
      </c>
      <c r="G300" t="b">
        <v>0</v>
      </c>
    </row>
    <row r="301" spans="1:7">
      <c r="A301">
        <f>HYPERLINK("https://learning.oreilly.com/live-events/managing-your-manager/0636920162872/0642572010100", "0642572010100")</f>
        <v>0</v>
      </c>
      <c r="B301" t="s">
        <v>595</v>
      </c>
      <c r="C301" t="s">
        <v>596</v>
      </c>
      <c r="D301" t="s">
        <v>597</v>
      </c>
      <c r="E301" t="s">
        <v>593</v>
      </c>
      <c r="F301" t="s">
        <v>163</v>
      </c>
      <c r="G301" t="b">
        <v>0</v>
      </c>
    </row>
    <row r="302" spans="1:7">
      <c r="A302">
        <f>HYPERLINK("https://learning.oreilly.com/live-events/linux-networking-security-fundamentals/0636920507611/0642572011760", "0642572011760")</f>
        <v>0</v>
      </c>
      <c r="B302" t="s">
        <v>78</v>
      </c>
      <c r="C302" t="s">
        <v>598</v>
      </c>
      <c r="D302" t="s">
        <v>599</v>
      </c>
      <c r="E302" t="s">
        <v>593</v>
      </c>
      <c r="F302" t="s">
        <v>400</v>
      </c>
      <c r="G302" t="b">
        <v>0</v>
      </c>
    </row>
    <row r="303" spans="1:7">
      <c r="A303">
        <f>HYPERLINK("https://learning.oreilly.com/live-events/genai-toolbox/0642572001846/0642572011671", "0642572011671")</f>
        <v>0</v>
      </c>
      <c r="B303" t="s">
        <v>68</v>
      </c>
      <c r="C303" t="s">
        <v>600</v>
      </c>
      <c r="D303" t="s">
        <v>601</v>
      </c>
      <c r="E303" t="s">
        <v>593</v>
      </c>
      <c r="F303" t="s">
        <v>224</v>
      </c>
      <c r="G303" t="b">
        <v>0</v>
      </c>
    </row>
    <row r="304" spans="1:7">
      <c r="A304">
        <f>HYPERLINK("https://learning.oreilly.com/live-events/developing-confidence-at-work/0642572007533/0642572011748", "0642572011748")</f>
        <v>0</v>
      </c>
      <c r="B304" t="s">
        <v>602</v>
      </c>
      <c r="C304" t="s">
        <v>603</v>
      </c>
      <c r="D304" t="s">
        <v>604</v>
      </c>
      <c r="E304" t="s">
        <v>593</v>
      </c>
      <c r="F304" t="s">
        <v>605</v>
      </c>
      <c r="G304" t="b">
        <v>0</v>
      </c>
    </row>
    <row r="305" spans="1:7">
      <c r="A305">
        <f>HYPERLINK("https://learning.oreilly.com/live-events/solid-principles-of-object-oriented-and-agile-design/0636920129271/0642572011545", "0642572011545")</f>
        <v>0</v>
      </c>
      <c r="B305" t="s">
        <v>606</v>
      </c>
      <c r="C305" t="s">
        <v>607</v>
      </c>
      <c r="E305" t="s">
        <v>593</v>
      </c>
      <c r="F305" t="s">
        <v>180</v>
      </c>
      <c r="G305" t="b">
        <v>0</v>
      </c>
    </row>
    <row r="306" spans="1:7">
      <c r="A306">
        <f>HYPERLINK("https://learning.oreilly.com/live-events/analyzing-architecture-risk/0636920054370/0642572011957", "0642572011957")</f>
        <v>0</v>
      </c>
      <c r="B306" t="s">
        <v>12</v>
      </c>
      <c r="C306" t="s">
        <v>608</v>
      </c>
      <c r="D306" t="s">
        <v>609</v>
      </c>
      <c r="E306" t="s">
        <v>593</v>
      </c>
      <c r="F306" t="s">
        <v>610</v>
      </c>
      <c r="G306" t="b">
        <v>0</v>
      </c>
    </row>
    <row r="307" spans="1:7">
      <c r="A307">
        <f>HYPERLINK("https://learning.oreilly.com/live-events/python-code-cleanup/0636920082773/0642572011122", "0642572011122")</f>
        <v>0</v>
      </c>
      <c r="B307" t="s">
        <v>44</v>
      </c>
      <c r="C307" t="s">
        <v>611</v>
      </c>
      <c r="D307" t="s">
        <v>612</v>
      </c>
      <c r="E307" t="s">
        <v>593</v>
      </c>
      <c r="F307" t="s">
        <v>613</v>
      </c>
      <c r="G307" t="b">
        <v>0</v>
      </c>
    </row>
    <row r="308" spans="1:7">
      <c r="A308">
        <f>HYPERLINK("https://learning.oreilly.com/live-events/certification-exam-cram-cissp/0642572013777/0642572013776", "0642572013776")</f>
        <v>0</v>
      </c>
      <c r="B308" t="s">
        <v>352</v>
      </c>
      <c r="C308" t="s">
        <v>614</v>
      </c>
      <c r="D308" t="s">
        <v>615</v>
      </c>
      <c r="E308" t="s">
        <v>593</v>
      </c>
      <c r="F308" t="s">
        <v>187</v>
      </c>
      <c r="G308" t="b">
        <v>0</v>
      </c>
    </row>
    <row r="309" spans="1:7">
      <c r="A309">
        <f>HYPERLINK("https://learning.oreilly.com/live-events/architecture-as-code/0642572011637/0642572011636", "0642572011636")</f>
        <v>0</v>
      </c>
      <c r="B309" t="s">
        <v>12</v>
      </c>
      <c r="C309" t="s">
        <v>616</v>
      </c>
      <c r="D309" t="s">
        <v>617</v>
      </c>
      <c r="E309" t="s">
        <v>618</v>
      </c>
      <c r="F309" t="s">
        <v>169</v>
      </c>
      <c r="G309" t="b">
        <v>0</v>
      </c>
    </row>
    <row r="310" spans="1:7">
      <c r="A310">
        <f>HYPERLINK("https://learning.oreilly.com/live-events/aws-certified-solutions-architect-associate-saa-c03-crash-course/0636920078770/0642572011251", "0642572011251")</f>
        <v>0</v>
      </c>
      <c r="B310" t="s">
        <v>619</v>
      </c>
      <c r="C310" t="s">
        <v>620</v>
      </c>
      <c r="D310" t="s">
        <v>621</v>
      </c>
      <c r="E310" t="s">
        <v>618</v>
      </c>
      <c r="F310" t="s">
        <v>63</v>
      </c>
      <c r="G310" t="b">
        <v>0</v>
      </c>
    </row>
    <row r="311" spans="1:7">
      <c r="A311">
        <f>HYPERLINK("https://learning.oreilly.com/live-events/github-copilot-for-developers/0636920094356/0642572011731", "0642572011731")</f>
        <v>0</v>
      </c>
      <c r="B311" t="s">
        <v>200</v>
      </c>
      <c r="C311" t="s">
        <v>622</v>
      </c>
      <c r="D311" t="s">
        <v>623</v>
      </c>
      <c r="E311" t="s">
        <v>618</v>
      </c>
      <c r="F311" t="s">
        <v>247</v>
      </c>
      <c r="G311" t="b">
        <v>0</v>
      </c>
    </row>
    <row r="312" spans="1:7">
      <c r="A312">
        <f>HYPERLINK("https://learning.oreilly.com/live-events/chatgpt-for-software-engineers/0636920090062/0642572012927", "0642572012927")</f>
        <v>0</v>
      </c>
      <c r="B312" t="s">
        <v>81</v>
      </c>
      <c r="C312" t="s">
        <v>624</v>
      </c>
      <c r="D312" t="s">
        <v>625</v>
      </c>
      <c r="E312" t="s">
        <v>618</v>
      </c>
      <c r="F312" t="s">
        <v>75</v>
      </c>
      <c r="G312" t="b">
        <v>0</v>
      </c>
    </row>
    <row r="313" spans="1:7">
      <c r="A313">
        <f>HYPERLINK("https://learning.oreilly.com/live-events/optimizing-llms-with-fine-tuning-and-prompt-engineering/0642572011351/0642572011350", "0642572011350")</f>
        <v>0</v>
      </c>
      <c r="B313" t="s">
        <v>68</v>
      </c>
      <c r="C313" t="s">
        <v>626</v>
      </c>
      <c r="D313" t="s">
        <v>627</v>
      </c>
      <c r="E313" t="s">
        <v>618</v>
      </c>
      <c r="F313" t="s">
        <v>90</v>
      </c>
      <c r="G313" t="b">
        <v>0</v>
      </c>
    </row>
    <row r="314" spans="1:7">
      <c r="A314">
        <f>HYPERLINK("https://learning.oreilly.com/live-events/fundamentals-of-technical-writing/0636920077082/0642572011926", "0642572011926")</f>
        <v>0</v>
      </c>
      <c r="B314" t="s">
        <v>628</v>
      </c>
      <c r="C314" t="s">
        <v>629</v>
      </c>
      <c r="D314" t="s">
        <v>630</v>
      </c>
      <c r="E314" t="s">
        <v>618</v>
      </c>
      <c r="F314" t="s">
        <v>27</v>
      </c>
      <c r="G314" t="b">
        <v>0</v>
      </c>
    </row>
    <row r="315" spans="1:7">
      <c r="A315">
        <f>HYPERLINK("https://learning.oreilly.com/live-events/python-data-structures-and-comprehensions/0636920082741/0642572011667", "0642572011667")</f>
        <v>0</v>
      </c>
      <c r="B315" t="s">
        <v>44</v>
      </c>
      <c r="C315" t="s">
        <v>631</v>
      </c>
      <c r="D315" t="s">
        <v>632</v>
      </c>
      <c r="E315" t="s">
        <v>618</v>
      </c>
      <c r="F315" t="s">
        <v>47</v>
      </c>
      <c r="G315" t="b">
        <v>0</v>
      </c>
    </row>
    <row r="316" spans="1:7">
      <c r="A316">
        <f>HYPERLINK("https://learning.oreilly.com/live-events/generative-ai-for-business-analysts-in-60-minutes/0642572002743/0642572009728", "0642572009728")</f>
        <v>0</v>
      </c>
      <c r="B316" t="s">
        <v>91</v>
      </c>
      <c r="C316" t="s">
        <v>498</v>
      </c>
      <c r="D316" t="s">
        <v>499</v>
      </c>
      <c r="E316" t="s">
        <v>618</v>
      </c>
      <c r="F316" t="s">
        <v>501</v>
      </c>
      <c r="G316" t="b">
        <v>0</v>
      </c>
    </row>
    <row r="317" spans="1:7">
      <c r="A317">
        <f>HYPERLINK("https://learning.oreilly.com/live-events/ai-observability/0790145088540/0642572012765", "0642572012765")</f>
        <v>0</v>
      </c>
      <c r="B317" t="s">
        <v>241</v>
      </c>
      <c r="C317" t="s">
        <v>633</v>
      </c>
      <c r="D317" t="s">
        <v>634</v>
      </c>
      <c r="E317" t="s">
        <v>618</v>
      </c>
      <c r="F317" t="s">
        <v>635</v>
      </c>
      <c r="G317" t="b">
        <v>0</v>
      </c>
    </row>
    <row r="318" spans="1:7">
      <c r="A318">
        <f>HYPERLINK("https://learning.oreilly.com/live-events/getting-started-with-llm-agents-using-langchain/0790145047100/0642572010983", "0642572010983")</f>
        <v>0</v>
      </c>
      <c r="B318" t="s">
        <v>285</v>
      </c>
      <c r="C318" t="s">
        <v>636</v>
      </c>
      <c r="D318" t="s">
        <v>637</v>
      </c>
      <c r="E318" t="s">
        <v>638</v>
      </c>
      <c r="F318" t="s">
        <v>84</v>
      </c>
      <c r="G318" t="b">
        <v>0</v>
      </c>
    </row>
    <row r="319" spans="1:7">
      <c r="A319">
        <f>HYPERLINK("https://learning.oreilly.com/live-events/mastering-microsoft-excel-pivot-tables/0636920059840/0642572011934", "0642572011934")</f>
        <v>0</v>
      </c>
      <c r="B319" t="s">
        <v>639</v>
      </c>
      <c r="C319" t="s">
        <v>640</v>
      </c>
      <c r="D319" t="s">
        <v>641</v>
      </c>
      <c r="E319" t="s">
        <v>638</v>
      </c>
      <c r="F319" t="s">
        <v>262</v>
      </c>
      <c r="G319" t="b">
        <v>0</v>
      </c>
    </row>
    <row r="320" spans="1:7">
      <c r="A320">
        <f>HYPERLINK("https://learning.oreilly.com/live-events/how-to-choose-the-right-llm-for-your-application/0636920098574/0642572011572", "0642572011572")</f>
        <v>0</v>
      </c>
      <c r="B320" t="s">
        <v>241</v>
      </c>
      <c r="C320" t="s">
        <v>642</v>
      </c>
      <c r="D320" t="s">
        <v>643</v>
      </c>
      <c r="E320" t="s">
        <v>638</v>
      </c>
      <c r="F320" t="s">
        <v>314</v>
      </c>
      <c r="G320" t="b">
        <v>0</v>
      </c>
    </row>
    <row r="321" spans="1:7">
      <c r="A321">
        <f>HYPERLINK("https://learning.oreilly.com/live-events/aws-design-fundamentals/0636920096313/0642572011061", "0642572011061")</f>
        <v>0</v>
      </c>
      <c r="B321" t="s">
        <v>644</v>
      </c>
      <c r="C321" t="s">
        <v>645</v>
      </c>
      <c r="D321" t="s">
        <v>646</v>
      </c>
      <c r="E321" t="s">
        <v>638</v>
      </c>
      <c r="F321" t="s">
        <v>269</v>
      </c>
      <c r="G321" t="b">
        <v>0</v>
      </c>
    </row>
    <row r="322" spans="1:7">
      <c r="A322">
        <f>HYPERLINK("https://learning.oreilly.com/live-events/functional-programming-in-java/0636920071136/0642572011857", "0642572011857")</f>
        <v>0</v>
      </c>
      <c r="B322" t="s">
        <v>403</v>
      </c>
      <c r="C322" t="s">
        <v>647</v>
      </c>
      <c r="D322" t="s">
        <v>648</v>
      </c>
      <c r="E322" t="s">
        <v>649</v>
      </c>
      <c r="F322" t="s">
        <v>163</v>
      </c>
      <c r="G322" t="b">
        <v>0</v>
      </c>
    </row>
    <row r="323" spans="1:7">
      <c r="A323">
        <f>HYPERLINK("https://learning.oreilly.com/live-events/modern-cybersecurity-fundamentals/0636920121701/0642572011766", "0642572011766")</f>
        <v>0</v>
      </c>
      <c r="B323" t="s">
        <v>650</v>
      </c>
      <c r="C323" t="s">
        <v>651</v>
      </c>
      <c r="D323" t="s">
        <v>652</v>
      </c>
      <c r="E323" t="s">
        <v>649</v>
      </c>
      <c r="F323" t="s">
        <v>140</v>
      </c>
      <c r="G323" t="b">
        <v>0</v>
      </c>
    </row>
    <row r="324" spans="1:7">
      <c r="A324">
        <f>HYPERLINK("https://learning.oreilly.com/live-events/darknets-and-dark-web-investigations/0636920074169/0642572011354", "0642572011354")</f>
        <v>0</v>
      </c>
      <c r="B324" t="s">
        <v>653</v>
      </c>
      <c r="C324" t="s">
        <v>654</v>
      </c>
      <c r="D324" t="s">
        <v>655</v>
      </c>
      <c r="E324" t="s">
        <v>649</v>
      </c>
      <c r="F324" t="s">
        <v>656</v>
      </c>
      <c r="G324" t="b">
        <v>0</v>
      </c>
    </row>
    <row r="325" spans="1:7">
      <c r="A325">
        <f>HYPERLINK("https://learning.oreilly.com/live-events/web-accessibility-workshop/0636920095498/0642572012263", "0642572012263")</f>
        <v>0</v>
      </c>
      <c r="B325" t="s">
        <v>657</v>
      </c>
      <c r="C325" t="s">
        <v>658</v>
      </c>
      <c r="D325" t="s">
        <v>659</v>
      </c>
      <c r="E325" t="s">
        <v>649</v>
      </c>
      <c r="F325" t="s">
        <v>660</v>
      </c>
      <c r="G325" t="b">
        <v>0</v>
      </c>
    </row>
    <row r="326" spans="1:7">
      <c r="A326">
        <f>HYPERLINK("https://learning.oreilly.com/live-events/genai-superstream-next-level-work-and-creativity-with-generative-ai/0642572012672/0642572012671", "0642572012671")</f>
        <v>0</v>
      </c>
      <c r="B326" t="s">
        <v>237</v>
      </c>
      <c r="C326" t="s">
        <v>661</v>
      </c>
      <c r="E326" t="s">
        <v>649</v>
      </c>
      <c r="F326" t="s">
        <v>662</v>
      </c>
      <c r="G326" t="b">
        <v>0</v>
      </c>
    </row>
    <row r="327" spans="1:7">
      <c r="A327">
        <f>HYPERLINK("https://learning.oreilly.com/live-events/artificial-intelligence/0636920054812/0642572011876", "0642572011876")</f>
        <v>0</v>
      </c>
      <c r="B327" t="s">
        <v>248</v>
      </c>
      <c r="C327" t="s">
        <v>516</v>
      </c>
      <c r="D327" t="s">
        <v>517</v>
      </c>
      <c r="E327" t="s">
        <v>649</v>
      </c>
      <c r="F327" t="s">
        <v>519</v>
      </c>
      <c r="G327" t="b">
        <v>0</v>
      </c>
    </row>
    <row r="328" spans="1:7">
      <c r="A328">
        <f>HYPERLINK("https://learning.oreilly.com/live-events/microservices-caching-strategies/0636920246428/0642572011965", "0642572011965")</f>
        <v>0</v>
      </c>
      <c r="B328" t="s">
        <v>17</v>
      </c>
      <c r="C328" t="s">
        <v>663</v>
      </c>
      <c r="D328" t="s">
        <v>664</v>
      </c>
      <c r="E328" t="s">
        <v>649</v>
      </c>
      <c r="F328" t="s">
        <v>610</v>
      </c>
      <c r="G328" t="b">
        <v>0</v>
      </c>
    </row>
    <row r="329" spans="1:7">
      <c r="A329">
        <f>HYPERLINK("https://learning.oreilly.com/live-events/designing-complex-software-systems/0642572011661/0642572011660", "0642572011660")</f>
        <v>0</v>
      </c>
      <c r="B329" t="s">
        <v>12</v>
      </c>
      <c r="C329" t="s">
        <v>665</v>
      </c>
      <c r="D329" t="s">
        <v>666</v>
      </c>
      <c r="E329" t="s">
        <v>649</v>
      </c>
      <c r="F329" t="s">
        <v>667</v>
      </c>
      <c r="G329" t="b">
        <v>0</v>
      </c>
    </row>
    <row r="330" spans="1:7">
      <c r="A330">
        <f>HYPERLINK("https://learning.oreilly.com/live-events/using-power-query-in-microsoft-power-bi-excel-and-fabric/0636920099717/0642572011788", "0642572011788")</f>
        <v>0</v>
      </c>
      <c r="B330" t="s">
        <v>21</v>
      </c>
      <c r="C330" t="s">
        <v>668</v>
      </c>
      <c r="D330" t="s">
        <v>669</v>
      </c>
      <c r="E330" t="s">
        <v>670</v>
      </c>
      <c r="F330" t="s">
        <v>594</v>
      </c>
      <c r="G330" t="b">
        <v>0</v>
      </c>
    </row>
    <row r="331" spans="1:7">
      <c r="A331">
        <f>HYPERLINK("https://learning.oreilly.com/live-events/advanced-python-metaprogramming/0642572011813/0642572011812", "0642572011812")</f>
        <v>0</v>
      </c>
      <c r="B331" t="s">
        <v>44</v>
      </c>
      <c r="C331" t="s">
        <v>671</v>
      </c>
      <c r="D331" t="s">
        <v>672</v>
      </c>
      <c r="E331" t="s">
        <v>670</v>
      </c>
      <c r="F331" t="s">
        <v>673</v>
      </c>
      <c r="G331" t="b">
        <v>0</v>
      </c>
    </row>
    <row r="332" spans="1:7">
      <c r="A332">
        <f>HYPERLINK("https://learning.oreilly.com/live-events/learn-infrastructure-as-code-with-terraform/0636920077731/0642572011795", "0642572011795")</f>
        <v>0</v>
      </c>
      <c r="B332" t="s">
        <v>674</v>
      </c>
      <c r="C332" t="s">
        <v>675</v>
      </c>
      <c r="D332" t="s">
        <v>676</v>
      </c>
      <c r="E332" t="s">
        <v>670</v>
      </c>
      <c r="F332" t="s">
        <v>677</v>
      </c>
      <c r="G332" t="b">
        <v>0</v>
      </c>
    </row>
    <row r="333" spans="1:7">
      <c r="A333">
        <f>HYPERLINK("https://learning.oreilly.com/live-events/microservice-fundamentals/0636920054839/0642572009626", "0642572009626")</f>
        <v>0</v>
      </c>
      <c r="B333" t="s">
        <v>17</v>
      </c>
      <c r="C333" t="s">
        <v>678</v>
      </c>
      <c r="D333" t="s">
        <v>679</v>
      </c>
      <c r="E333" t="s">
        <v>680</v>
      </c>
      <c r="F333" t="s">
        <v>20</v>
      </c>
      <c r="G333" t="b">
        <v>0</v>
      </c>
    </row>
    <row r="334" spans="1:7">
      <c r="A334">
        <f>HYPERLINK("https://learning.oreilly.com/live-events/integrating-ai-in-java-projects/0642572001330/0642572010088", "0642572010088")</f>
        <v>0</v>
      </c>
      <c r="B334" t="s">
        <v>403</v>
      </c>
      <c r="C334" t="s">
        <v>681</v>
      </c>
      <c r="D334" t="s">
        <v>682</v>
      </c>
      <c r="E334" t="s">
        <v>680</v>
      </c>
      <c r="F334" t="s">
        <v>163</v>
      </c>
      <c r="G334" t="b">
        <v>0</v>
      </c>
    </row>
    <row r="335" spans="1:7">
      <c r="A335">
        <f>HYPERLINK("https://learning.oreilly.com/live-events/machine-learning-from-scratch/0636920054754/0642572009960", "0642572009960")</f>
        <v>0</v>
      </c>
      <c r="B335" t="s">
        <v>248</v>
      </c>
      <c r="C335" t="s">
        <v>683</v>
      </c>
      <c r="D335" t="s">
        <v>684</v>
      </c>
      <c r="E335" t="s">
        <v>680</v>
      </c>
      <c r="F335" t="s">
        <v>215</v>
      </c>
      <c r="G335" t="b">
        <v>0</v>
      </c>
    </row>
    <row r="336" spans="1:7">
      <c r="A336">
        <f>HYPERLINK("https://learning.oreilly.com/live-events/writing-effective-prompts-for-chatgpt/0636920090058/0642572009666", "0642572009666")</f>
        <v>0</v>
      </c>
      <c r="B336" t="s">
        <v>68</v>
      </c>
      <c r="C336" t="s">
        <v>164</v>
      </c>
      <c r="D336" t="s">
        <v>165</v>
      </c>
      <c r="E336" t="s">
        <v>680</v>
      </c>
      <c r="F336" t="s">
        <v>166</v>
      </c>
      <c r="G336" t="b">
        <v>0</v>
      </c>
    </row>
    <row r="337" spans="1:7">
      <c r="A337">
        <f>HYPERLINK("https://learning.oreilly.com/live-events/using-ai-tools-and-python-to-automate-tasks/0642572011642/0642572011641", "0642572011641")</f>
        <v>0</v>
      </c>
      <c r="B337" t="s">
        <v>44</v>
      </c>
      <c r="C337" t="s">
        <v>685</v>
      </c>
      <c r="D337" t="s">
        <v>686</v>
      </c>
      <c r="E337" t="s">
        <v>680</v>
      </c>
      <c r="F337" t="s">
        <v>84</v>
      </c>
      <c r="G337" t="b">
        <v>0</v>
      </c>
    </row>
    <row r="338" spans="1:7">
      <c r="A338">
        <f>HYPERLINK("https://learning.oreilly.com/live-events/kubernetes-and-cloud-security-associate-kcsa-exam-prep-crash-course/0642572004396/0642572011090", "0642572011090")</f>
        <v>0</v>
      </c>
      <c r="B338" t="s">
        <v>687</v>
      </c>
      <c r="C338" t="s">
        <v>688</v>
      </c>
      <c r="D338" t="s">
        <v>689</v>
      </c>
      <c r="E338" t="s">
        <v>680</v>
      </c>
      <c r="F338" t="s">
        <v>178</v>
      </c>
      <c r="G338" t="b">
        <v>0</v>
      </c>
    </row>
    <row r="339" spans="1:7">
      <c r="A339">
        <f>HYPERLINK("https://learning.oreilly.com/live-events/using-generative-ai-to-land-your-next-job/0790145067802/0642572009506", "0642572009506")</f>
        <v>0</v>
      </c>
      <c r="B339" t="s">
        <v>524</v>
      </c>
      <c r="C339" t="s">
        <v>525</v>
      </c>
      <c r="D339" t="s">
        <v>526</v>
      </c>
      <c r="E339" t="s">
        <v>680</v>
      </c>
      <c r="F339" t="s">
        <v>528</v>
      </c>
      <c r="G339" t="b">
        <v>0</v>
      </c>
    </row>
    <row r="340" spans="1:7">
      <c r="A340">
        <f>HYPERLINK("https://learning.oreilly.com/live-events/react-best-practices/0790145068370/0642572013052", "0642572013052")</f>
        <v>0</v>
      </c>
      <c r="B340" t="s">
        <v>216</v>
      </c>
      <c r="C340" t="s">
        <v>690</v>
      </c>
      <c r="D340" t="s">
        <v>691</v>
      </c>
      <c r="E340" t="s">
        <v>680</v>
      </c>
      <c r="F340" t="s">
        <v>224</v>
      </c>
      <c r="G340" t="b">
        <v>0</v>
      </c>
    </row>
    <row r="341" spans="1:7">
      <c r="A341">
        <f>HYPERLINK("https://learning.oreilly.com/live-events/knowledge-graphs-large-language-models-bootcamp/0636920091408/0642572012360", "0642572012360")</f>
        <v>0</v>
      </c>
      <c r="B341" t="s">
        <v>241</v>
      </c>
      <c r="C341" t="s">
        <v>692</v>
      </c>
      <c r="D341" t="s">
        <v>693</v>
      </c>
      <c r="E341" t="s">
        <v>680</v>
      </c>
      <c r="F341" t="s">
        <v>694</v>
      </c>
      <c r="G341" t="b">
        <v>0</v>
      </c>
    </row>
    <row r="342" spans="1:7">
      <c r="A342">
        <f>HYPERLINK("https://learning.oreilly.com/live-events/basic-rust-programming/0642572002899/0642572013634", "0642572013634")</f>
        <v>0</v>
      </c>
      <c r="B342" t="s">
        <v>141</v>
      </c>
      <c r="C342" t="s">
        <v>695</v>
      </c>
      <c r="D342" t="s">
        <v>696</v>
      </c>
      <c r="E342" t="s">
        <v>680</v>
      </c>
      <c r="F342" t="s">
        <v>697</v>
      </c>
      <c r="G342" t="b">
        <v>0</v>
      </c>
    </row>
    <row r="343" spans="1:7">
      <c r="A343">
        <f>HYPERLINK("https://learning.oreilly.com/live-events/aws-fundamentals/0642572005880/0642572011073", "0642572011073")</f>
        <v>0</v>
      </c>
      <c r="B343" t="s">
        <v>644</v>
      </c>
      <c r="C343" t="s">
        <v>698</v>
      </c>
      <c r="D343" t="s">
        <v>699</v>
      </c>
      <c r="E343" t="s">
        <v>680</v>
      </c>
      <c r="F343" t="s">
        <v>269</v>
      </c>
      <c r="G343" t="b">
        <v>0</v>
      </c>
    </row>
    <row r="344" spans="1:7">
      <c r="A344">
        <f>HYPERLINK("https://learning.oreilly.com/live-events/local-llms-made-easy/0642572007549/0642572013754", "0642572013754")</f>
        <v>0</v>
      </c>
      <c r="B344" t="s">
        <v>700</v>
      </c>
      <c r="C344" t="s">
        <v>701</v>
      </c>
      <c r="D344" t="s">
        <v>702</v>
      </c>
      <c r="E344" t="s">
        <v>680</v>
      </c>
      <c r="F344" t="s">
        <v>703</v>
      </c>
      <c r="G344" t="b">
        <v>0</v>
      </c>
    </row>
    <row r="345" spans="1:7">
      <c r="A345">
        <f>HYPERLINK("https://learning.oreilly.com/live-events/fundamentals-of-infrastructure-as-code/0642572000089/0642572013112", "0642572013112")</f>
        <v>0</v>
      </c>
      <c r="B345" t="s">
        <v>704</v>
      </c>
      <c r="C345" t="s">
        <v>705</v>
      </c>
      <c r="D345" t="s">
        <v>706</v>
      </c>
      <c r="E345" t="s">
        <v>680</v>
      </c>
      <c r="F345" t="s">
        <v>707</v>
      </c>
      <c r="G345" t="b">
        <v>0</v>
      </c>
    </row>
    <row r="346" spans="1:7">
      <c r="A346">
        <f>HYPERLINK("https://learning.oreilly.com/live-events/practical-project-management-bootcamp/0790145073810/0642572013747", "0642572013747")</f>
        <v>0</v>
      </c>
      <c r="B346" t="s">
        <v>32</v>
      </c>
      <c r="C346" t="s">
        <v>708</v>
      </c>
      <c r="D346" t="s">
        <v>709</v>
      </c>
      <c r="E346" t="s">
        <v>680</v>
      </c>
      <c r="F346" t="s">
        <v>710</v>
      </c>
      <c r="G346" t="b">
        <v>0</v>
      </c>
    </row>
    <row r="347" spans="1:7">
      <c r="A347">
        <f>HYPERLINK("https://learning.oreilly.com/live-events/getting-started-with-aws/0636920126294/0642572012868", "0642572012868")</f>
        <v>0</v>
      </c>
      <c r="B347" t="s">
        <v>711</v>
      </c>
      <c r="C347" t="s">
        <v>712</v>
      </c>
      <c r="D347" t="s">
        <v>713</v>
      </c>
      <c r="E347" t="s">
        <v>714</v>
      </c>
      <c r="F347" t="s">
        <v>63</v>
      </c>
      <c r="G347" t="b">
        <v>0</v>
      </c>
    </row>
    <row r="348" spans="1:7">
      <c r="A348">
        <f>HYPERLINK("https://learning.oreilly.com/live-events/restful-microservices-apis-bootcamp/0636920087475/0642572013099", "0642572013099")</f>
        <v>0</v>
      </c>
      <c r="B348" t="s">
        <v>17</v>
      </c>
      <c r="C348" t="s">
        <v>715</v>
      </c>
      <c r="D348" t="s">
        <v>716</v>
      </c>
      <c r="E348" t="s">
        <v>714</v>
      </c>
      <c r="F348" t="s">
        <v>16</v>
      </c>
      <c r="G348" t="b">
        <v>0</v>
      </c>
    </row>
    <row r="349" spans="1:7">
      <c r="A349">
        <f>HYPERLINK("https://learning.oreilly.com/live-events/using-generative-ai-to-boost-your-personal-productivity/0636920099736/0642572009044", "0642572009044")</f>
        <v>0</v>
      </c>
      <c r="B349" t="s">
        <v>24</v>
      </c>
      <c r="C349" t="s">
        <v>25</v>
      </c>
      <c r="D349" t="s">
        <v>26</v>
      </c>
      <c r="E349" t="s">
        <v>714</v>
      </c>
      <c r="F349" t="s">
        <v>27</v>
      </c>
      <c r="G349" t="b">
        <v>0</v>
      </c>
    </row>
    <row r="350" spans="1:7">
      <c r="A350">
        <f>HYPERLINK("https://learning.oreilly.com/live-events/mastering-patterns-in-event-driven-architecture/0636920064167/0642572012004", "0642572012004")</f>
        <v>0</v>
      </c>
      <c r="B350" t="s">
        <v>717</v>
      </c>
      <c r="C350" t="s">
        <v>718</v>
      </c>
      <c r="D350" t="s">
        <v>719</v>
      </c>
      <c r="E350" t="s">
        <v>714</v>
      </c>
      <c r="F350" t="s">
        <v>610</v>
      </c>
      <c r="G350" t="b">
        <v>0</v>
      </c>
    </row>
    <row r="351" spans="1:7">
      <c r="A351">
        <f>HYPERLINK("https://learning.oreilly.com/live-events/python-cookbook-recipes-for-ai-and-machine-learning/0636920097594/0642572012860", "0642572012860")</f>
        <v>0</v>
      </c>
      <c r="B351" t="s">
        <v>44</v>
      </c>
      <c r="C351" t="s">
        <v>720</v>
      </c>
      <c r="D351" t="s">
        <v>721</v>
      </c>
      <c r="E351" t="s">
        <v>714</v>
      </c>
      <c r="F351" t="s">
        <v>224</v>
      </c>
      <c r="G351" t="b">
        <v>0</v>
      </c>
    </row>
    <row r="352" spans="1:7">
      <c r="A352">
        <f>HYPERLINK("https://learning.oreilly.com/live-events/pmp-exam-prep-boot-camp/0790145051817/0642572012049", "0642572012049")</f>
        <v>0</v>
      </c>
      <c r="B352" t="s">
        <v>305</v>
      </c>
      <c r="C352" t="s">
        <v>722</v>
      </c>
      <c r="D352" t="s">
        <v>723</v>
      </c>
      <c r="E352" t="s">
        <v>714</v>
      </c>
      <c r="F352" t="s">
        <v>724</v>
      </c>
      <c r="G352" t="b">
        <v>0</v>
      </c>
    </row>
    <row r="353" spans="1:7">
      <c r="A353">
        <f>HYPERLINK("https://learning.oreilly.com/live-events/learn-linux-in-3-hours/0636920098508/0642572012415", "0642572012415")</f>
        <v>0</v>
      </c>
      <c r="B353" t="s">
        <v>78</v>
      </c>
      <c r="C353" t="s">
        <v>725</v>
      </c>
      <c r="D353" t="s">
        <v>726</v>
      </c>
      <c r="E353" t="s">
        <v>714</v>
      </c>
      <c r="F353" t="s">
        <v>31</v>
      </c>
      <c r="G353" t="b">
        <v>0</v>
      </c>
    </row>
    <row r="354" spans="1:7">
      <c r="A354">
        <f>HYPERLINK("https://learning.oreilly.com/live-events/building-your-first-etl-data-platform/0642572000874/0642572010219", "0642572010219")</f>
        <v>0</v>
      </c>
      <c r="B354" t="s">
        <v>727</v>
      </c>
      <c r="C354" t="s">
        <v>728</v>
      </c>
      <c r="D354" t="s">
        <v>729</v>
      </c>
      <c r="E354" t="s">
        <v>714</v>
      </c>
      <c r="F354" t="s">
        <v>730</v>
      </c>
      <c r="G354" t="b">
        <v>0</v>
      </c>
    </row>
    <row r="355" spans="1:7">
      <c r="A355">
        <f>HYPERLINK("https://learning.oreilly.com/live-events/ccnp-and-ccie-enterprise-core-encor-350-401-crash-course-2022-update/0636920077330/0642572012999", "0642572012999")</f>
        <v>0</v>
      </c>
      <c r="B355" t="s">
        <v>731</v>
      </c>
      <c r="C355" t="s">
        <v>732</v>
      </c>
      <c r="E355" t="s">
        <v>714</v>
      </c>
      <c r="F355" t="s">
        <v>733</v>
      </c>
      <c r="G355" t="b">
        <v>0</v>
      </c>
    </row>
    <row r="356" spans="1:7">
      <c r="A356">
        <f>HYPERLINK("https://learning.oreilly.com/live-events/mastering-communication-skills-for-virtual-environments/0636920493259/0642572012027", "0642572012027")</f>
        <v>0</v>
      </c>
      <c r="B356" t="s">
        <v>225</v>
      </c>
      <c r="C356" t="s">
        <v>734</v>
      </c>
      <c r="D356" t="s">
        <v>735</v>
      </c>
      <c r="E356" t="s">
        <v>714</v>
      </c>
      <c r="F356" t="s">
        <v>50</v>
      </c>
      <c r="G356" t="b">
        <v>0</v>
      </c>
    </row>
    <row r="357" spans="1:7">
      <c r="A357">
        <f>HYPERLINK("https://learning.oreilly.com/live-events/microsoft-fabric-analytics-engineer-associate-bootcamp-dp-600/0642572001385/0642572013106", "0642572013106")</f>
        <v>0</v>
      </c>
      <c r="B357" t="s">
        <v>736</v>
      </c>
      <c r="C357" t="s">
        <v>737</v>
      </c>
      <c r="D357" t="s">
        <v>738</v>
      </c>
      <c r="E357" t="s">
        <v>739</v>
      </c>
      <c r="F357" t="s">
        <v>740</v>
      </c>
      <c r="G357" t="b">
        <v>0</v>
      </c>
    </row>
    <row r="358" spans="1:7">
      <c r="A358">
        <f>HYPERLINK("https://learning.oreilly.com/live-events/prompt-engineering-for-generating-ai-art-and-text/0636920084340/0642572009575", "0642572009575")</f>
        <v>0</v>
      </c>
      <c r="B358" t="s">
        <v>68</v>
      </c>
      <c r="C358" t="s">
        <v>530</v>
      </c>
      <c r="D358" t="s">
        <v>531</v>
      </c>
      <c r="E358" t="s">
        <v>739</v>
      </c>
      <c r="F358" t="s">
        <v>533</v>
      </c>
      <c r="G358" t="b">
        <v>0</v>
      </c>
    </row>
    <row r="359" spans="1:7">
      <c r="A359">
        <f>HYPERLINK("https://learning.oreilly.com/live-events/langchain4j/0642572013453/0642572013452", "0642572013452")</f>
        <v>0</v>
      </c>
      <c r="B359" t="s">
        <v>285</v>
      </c>
      <c r="C359" t="s">
        <v>741</v>
      </c>
      <c r="D359" t="s">
        <v>742</v>
      </c>
      <c r="E359" t="s">
        <v>739</v>
      </c>
      <c r="F359" t="s">
        <v>163</v>
      </c>
      <c r="G359" t="b">
        <v>0</v>
      </c>
    </row>
    <row r="360" spans="1:7">
      <c r="A360">
        <f>HYPERLINK("https://learning.oreilly.com/live-events/linux-performance-optimization/0636920155775/0642572012423", "0642572012423")</f>
        <v>0</v>
      </c>
      <c r="B360" t="s">
        <v>78</v>
      </c>
      <c r="C360" t="s">
        <v>743</v>
      </c>
      <c r="D360" t="s">
        <v>744</v>
      </c>
      <c r="E360" t="s">
        <v>739</v>
      </c>
      <c r="F360" t="s">
        <v>31</v>
      </c>
      <c r="G360" t="b">
        <v>0</v>
      </c>
    </row>
    <row r="361" spans="1:7">
      <c r="A361">
        <f>HYPERLINK("https://learning.oreilly.com/live-events/python-full-throttle-with-paul-deitel-a-one-day-fast-paced-code-intensive-python-presentation/0636920274667/0642572011144", "0642572011144")</f>
        <v>0</v>
      </c>
      <c r="B361" t="s">
        <v>44</v>
      </c>
      <c r="C361" t="s">
        <v>76</v>
      </c>
      <c r="E361" t="s">
        <v>739</v>
      </c>
      <c r="F361" t="s">
        <v>77</v>
      </c>
      <c r="G361" t="b">
        <v>0</v>
      </c>
    </row>
    <row r="362" spans="1:7">
      <c r="A362">
        <f>HYPERLINK("https://learning.oreilly.com/live-events/exam-az-305-designing-microsoft-azure-infrastructure-solutions-crash-course/0636920093041/0642572013466", "0642572013466")</f>
        <v>0</v>
      </c>
      <c r="B362" t="s">
        <v>295</v>
      </c>
      <c r="C362" t="s">
        <v>745</v>
      </c>
      <c r="D362" t="s">
        <v>746</v>
      </c>
      <c r="E362" t="s">
        <v>739</v>
      </c>
      <c r="F362" t="s">
        <v>247</v>
      </c>
      <c r="G362" t="b">
        <v>0</v>
      </c>
    </row>
    <row r="363" spans="1:7">
      <c r="A363">
        <f>HYPERLINK("https://learning.oreilly.com/live-events/introduction-to-python-programming/0636920248859/0642572012783", "0642572012783")</f>
        <v>0</v>
      </c>
      <c r="B363" t="s">
        <v>44</v>
      </c>
      <c r="C363" t="s">
        <v>747</v>
      </c>
      <c r="D363" t="s">
        <v>748</v>
      </c>
      <c r="E363" t="s">
        <v>739</v>
      </c>
      <c r="F363" t="s">
        <v>47</v>
      </c>
      <c r="G363" t="b">
        <v>0</v>
      </c>
    </row>
    <row r="364" spans="1:7">
      <c r="A364">
        <f>HYPERLINK("https://learning.oreilly.com/live-events/introduction-to-time-management-skills/0636920054563/0642572013369", "0642572013369")</f>
        <v>0</v>
      </c>
      <c r="B364" t="s">
        <v>124</v>
      </c>
      <c r="C364" t="s">
        <v>749</v>
      </c>
      <c r="D364" t="s">
        <v>750</v>
      </c>
      <c r="E364" t="s">
        <v>739</v>
      </c>
      <c r="F364" t="s">
        <v>284</v>
      </c>
      <c r="G364" t="b">
        <v>0</v>
      </c>
    </row>
    <row r="365" spans="1:7">
      <c r="A365">
        <f>HYPERLINK("https://learning.oreilly.com/live-events/security-engineering-deep-dive/0642572012875/0642572012874", "0642572012874")</f>
        <v>0</v>
      </c>
      <c r="B365" t="s">
        <v>751</v>
      </c>
      <c r="C365" t="s">
        <v>752</v>
      </c>
      <c r="D365" t="s">
        <v>753</v>
      </c>
      <c r="E365" t="s">
        <v>754</v>
      </c>
      <c r="F365" t="s">
        <v>103</v>
      </c>
      <c r="G365" t="b">
        <v>0</v>
      </c>
    </row>
    <row r="366" spans="1:7">
      <c r="A366">
        <f>HYPERLINK("https://learning.oreilly.com/live-events/designing-distributed-systems/0636920087477/0642572010203", "0642572010203")</f>
        <v>0</v>
      </c>
      <c r="B366" t="s">
        <v>755</v>
      </c>
      <c r="C366" t="s">
        <v>756</v>
      </c>
      <c r="D366" t="s">
        <v>757</v>
      </c>
      <c r="E366" t="s">
        <v>754</v>
      </c>
      <c r="F366" t="s">
        <v>169</v>
      </c>
      <c r="G366" t="b">
        <v>0</v>
      </c>
    </row>
    <row r="367" spans="1:7">
      <c r="A367">
        <f>HYPERLINK("https://learning.oreilly.com/live-events/ai-enabled-programming-networking-and-cybersecurity/0636920094177/0642572012982", "0642572012982")</f>
        <v>0</v>
      </c>
      <c r="B367" t="s">
        <v>524</v>
      </c>
      <c r="C367" t="s">
        <v>758</v>
      </c>
      <c r="D367" t="s">
        <v>759</v>
      </c>
      <c r="E367" t="s">
        <v>754</v>
      </c>
      <c r="F367" t="s">
        <v>140</v>
      </c>
      <c r="G367" t="b">
        <v>0</v>
      </c>
    </row>
    <row r="368" spans="1:7">
      <c r="A368">
        <f>HYPERLINK("https://learning.oreilly.com/live-events/azure-ai-engineer-associate-certification-ai-102-prep-bootcamp/0642572003762/0642572012567", "0642572012567")</f>
        <v>0</v>
      </c>
      <c r="B368" t="s">
        <v>343</v>
      </c>
      <c r="C368" t="s">
        <v>760</v>
      </c>
      <c r="E368" t="s">
        <v>754</v>
      </c>
      <c r="F368" t="s">
        <v>252</v>
      </c>
      <c r="G368" t="b">
        <v>0</v>
      </c>
    </row>
    <row r="369" spans="1:7">
      <c r="A369">
        <f>HYPERLINK("https://learning.oreilly.com/live-events/terraform-fundamentals-in-2-days/0790145081937/0642572010427", "0642572010427")</f>
        <v>0</v>
      </c>
      <c r="B369" t="s">
        <v>674</v>
      </c>
      <c r="C369" t="s">
        <v>761</v>
      </c>
      <c r="D369" t="s">
        <v>762</v>
      </c>
      <c r="E369" t="s">
        <v>754</v>
      </c>
      <c r="F369" t="s">
        <v>147</v>
      </c>
      <c r="G369" t="b">
        <v>0</v>
      </c>
    </row>
    <row r="370" spans="1:7">
      <c r="A370">
        <f>HYPERLINK("https://learning.oreilly.com/live-events/mastering-power-query-with-microsoft-excel/0636920093148/0642572012812", "0642572012812")</f>
        <v>0</v>
      </c>
      <c r="B370" t="s">
        <v>571</v>
      </c>
      <c r="C370" t="s">
        <v>763</v>
      </c>
      <c r="D370" t="s">
        <v>764</v>
      </c>
      <c r="E370" t="s">
        <v>754</v>
      </c>
      <c r="F370" t="s">
        <v>262</v>
      </c>
      <c r="G370" t="b">
        <v>0</v>
      </c>
    </row>
    <row r="371" spans="1:7">
      <c r="A371">
        <f>HYPERLINK("https://learning.oreilly.com/live-events/open-source-genai-with-instructlab-and-granite/0642572006017/0642572012419", "0642572012419")</f>
        <v>0</v>
      </c>
      <c r="B371" t="s">
        <v>68</v>
      </c>
      <c r="C371" t="s">
        <v>765</v>
      </c>
      <c r="D371" t="s">
        <v>766</v>
      </c>
      <c r="E371" t="s">
        <v>754</v>
      </c>
      <c r="F371" t="s">
        <v>31</v>
      </c>
      <c r="G371" t="b">
        <v>0</v>
      </c>
    </row>
    <row r="372" spans="1:7">
      <c r="A372">
        <f>HYPERLINK("https://learning.oreilly.com/live-events/fine-tuning-open-source-large-language-models/0642572011954/0642572011953", "0642572011953")</f>
        <v>0</v>
      </c>
      <c r="B372" t="s">
        <v>241</v>
      </c>
      <c r="C372" t="s">
        <v>767</v>
      </c>
      <c r="D372" t="s">
        <v>768</v>
      </c>
      <c r="E372" t="s">
        <v>754</v>
      </c>
      <c r="F372" t="s">
        <v>769</v>
      </c>
      <c r="G372" t="b">
        <v>0</v>
      </c>
    </row>
    <row r="373" spans="1:7">
      <c r="A373">
        <f>HYPERLINK("https://learning.oreilly.com/live-events/azure-network-engineer-associate-az-700-crash-course/0642572013435/0642572013434", "0642572013434")</f>
        <v>0</v>
      </c>
      <c r="B373" t="s">
        <v>770</v>
      </c>
      <c r="C373" t="s">
        <v>771</v>
      </c>
      <c r="E373" t="s">
        <v>754</v>
      </c>
      <c r="F373" t="s">
        <v>298</v>
      </c>
      <c r="G373" t="b">
        <v>0</v>
      </c>
    </row>
    <row r="374" spans="1:7">
      <c r="A374">
        <f>HYPERLINK("https://learning.oreilly.com/live-events/hands-on-gpt-4-turbo-and-gpt-4o/0790145074060/0642572011583", "0642572011583")</f>
        <v>0</v>
      </c>
      <c r="B374" t="s">
        <v>81</v>
      </c>
      <c r="C374" t="s">
        <v>772</v>
      </c>
      <c r="D374" t="s">
        <v>773</v>
      </c>
      <c r="E374" t="s">
        <v>754</v>
      </c>
      <c r="F374" t="s">
        <v>314</v>
      </c>
      <c r="G374" t="b">
        <v>0</v>
      </c>
    </row>
    <row r="375" spans="1:7">
      <c r="A375">
        <f>HYPERLINK("https://learning.oreilly.com/live-events/ai-agents-a-z/0642572007604/0642572012954", "0642572012954")</f>
        <v>0</v>
      </c>
      <c r="B375" t="s">
        <v>237</v>
      </c>
      <c r="C375" t="s">
        <v>774</v>
      </c>
      <c r="D375" t="s">
        <v>775</v>
      </c>
      <c r="E375" t="s">
        <v>754</v>
      </c>
      <c r="F375" t="s">
        <v>90</v>
      </c>
      <c r="G375" t="b">
        <v>0</v>
      </c>
    </row>
    <row r="376" spans="1:7">
      <c r="A376">
        <f>HYPERLINK("https://learning.oreilly.com/live-events/algorithms-for-everyone/0642572003993/0642572013048", "0642572013048")</f>
        <v>0</v>
      </c>
      <c r="B376" t="s">
        <v>51</v>
      </c>
      <c r="C376" t="s">
        <v>776</v>
      </c>
      <c r="D376" t="s">
        <v>777</v>
      </c>
      <c r="E376" t="s">
        <v>754</v>
      </c>
      <c r="F376" t="s">
        <v>778</v>
      </c>
      <c r="G376" t="b">
        <v>0</v>
      </c>
    </row>
    <row r="377" spans="1:7">
      <c r="A377">
        <f>HYPERLINK("https://learning.oreilly.com/live-events/hands-on-github-copilot/0790145056029/0642572009912", "0642572009912")</f>
        <v>0</v>
      </c>
      <c r="B377" t="s">
        <v>200</v>
      </c>
      <c r="C377" t="s">
        <v>779</v>
      </c>
      <c r="D377" t="s">
        <v>780</v>
      </c>
      <c r="E377" t="s">
        <v>754</v>
      </c>
      <c r="F377" t="s">
        <v>135</v>
      </c>
      <c r="G377" t="b">
        <v>0</v>
      </c>
    </row>
    <row r="378" spans="1:7">
      <c r="A378">
        <f>HYPERLINK("https://learning.oreilly.com/live-events/writing-better-sql-in-90-minuteswith-interactivity/0636920068899/0642572013697", "0642572013697")</f>
        <v>0</v>
      </c>
      <c r="B378" t="s">
        <v>781</v>
      </c>
      <c r="C378" t="s">
        <v>782</v>
      </c>
      <c r="D378" t="s">
        <v>783</v>
      </c>
      <c r="E378" t="s">
        <v>754</v>
      </c>
      <c r="F378" t="s">
        <v>784</v>
      </c>
      <c r="G378" t="b">
        <v>0</v>
      </c>
    </row>
    <row r="379" spans="1:7">
      <c r="A379">
        <f>HYPERLINK("https://learning.oreilly.com/live-events/essential-math-for-data-science-in-4-weekswith-interactivity/0636920095384/0642572013638", "0642572013638")</f>
        <v>0</v>
      </c>
      <c r="B379" t="s">
        <v>785</v>
      </c>
      <c r="C379" t="s">
        <v>786</v>
      </c>
      <c r="D379" t="s">
        <v>787</v>
      </c>
      <c r="E379" t="s">
        <v>754</v>
      </c>
      <c r="F379" t="s">
        <v>215</v>
      </c>
      <c r="G3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2024-12-10T02:25:37Z</dcterms:created>
  <dcterms:modified xsi:type="dcterms:W3CDTF">2024-12-10T02:25:37Z</dcterms:modified>
</cp:coreProperties>
</file>